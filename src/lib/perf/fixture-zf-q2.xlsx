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3"/>
  </bookViews>
  <sheets>
    <sheet name="الدليل" sheetId="1" state="visible" r:id="rId3"/>
    <sheet name="Guide" sheetId="2" state="visible" r:id="rId4"/>
    <sheet name="KPI Tracking" sheetId="3" state="visible" r:id="rId5"/>
    <sheet name="الأنشطة" sheetId="4" state="visible" r:id="rId6"/>
    <sheet name="الملخص" sheetId="5" state="visible" r:id="rId7"/>
    <sheet name="Data" sheetId="6" state="visible" r:id="rId8"/>
  </sheets>
  <definedNames>
    <definedName function="false" hidden="false" localSheetId="1" name="_xlnm.Print_Area" vbProcedure="false">Guide!$A$1:$G$111</definedName>
    <definedName function="false" hidden="false" localSheetId="3" name="_xlnm.Print_Area" vbProcedure="false">الأنشطة!$A$1:$K$97</definedName>
    <definedName function="false" hidden="false" localSheetId="3" name="_xlnm.Print_Titles" vbProcedure="false">الأنشطة!$1:$3</definedName>
    <definedName function="false" hidden="true" localSheetId="3" name="_xlnm._FilterDatabase" vbProcedure="false">الأنشطة!$A$6:$K$86</definedName>
    <definedName function="false" hidden="false" localSheetId="0" name="_xlnm.Print_Area" vbProcedure="false">الدليل!$A$1:$G$111</definedName>
    <definedName function="false" hidden="false" name="lst_ActType" vbProcedure="false">Data!$AG$2:$AG$4</definedName>
    <definedName function="false" hidden="false" name="lst_Frequency" vbProcedure="false">Data!$P$2:$P$8</definedName>
    <definedName function="false" hidden="false" name="lst_Freq_Qual" vbProcedure="false">Data!$X$2:$X$4</definedName>
    <definedName function="false" hidden="false" name="lst_Impact" vbProcedure="false">Data!$AB$2:$AB$4</definedName>
    <definedName function="false" hidden="false" name="lst_Institution" vbProcedure="false">Data!$A$2:$A$7</definedName>
    <definedName function="false" hidden="false" name="lst_Measure" vbProcedure="false">Data!$H$2:$H$4</definedName>
    <definedName function="false" hidden="false" name="lst_Period" vbProcedure="false">Data!$D$2:$D$5</definedName>
    <definedName function="false" hidden="false" name="lst_Polarity" vbProcedure="false">Data!$N$2:$N$3</definedName>
    <definedName function="false" hidden="false" name="lst_Priority" vbProcedure="false">Data!$Z$2:$Z$4</definedName>
    <definedName function="false" hidden="false" name="lst_Role" vbProcedure="false">Data!$J$2:$J$3</definedName>
    <definedName function="false" hidden="false" name="lst_Unit" vbProcedure="false">Data!$L$2:$L$6</definedName>
    <definedName function="false" hidden="false" name="lst_Unit_Num" vbProcedure="false">Data!$R$2:$R$4</definedName>
    <definedName function="false" hidden="false" name="lst_Unit_Pct" vbProcedure="false">Data!$T$2:$T$2</definedName>
    <definedName function="false" hidden="false" name="lst_Unit_Qual" vbProcedure="false">Data!$V$2:$V$2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<sst xmlns="http://schemas.openxmlformats.org/spreadsheetml/2006/main" count="792" uniqueCount="582">
  <si>
    <r>
      <rPr>
        <sz val="18"/>
        <color rgb="FFFFFFFF"/>
        <rFont val="FreeSans"/>
        <family val="2"/>
      </rPr>
      <t xml:space="preserve">مكتب الإشراف والتطوير المؤسسي (</t>
    </r>
    <r>
      <rPr>
        <sz val="18"/>
        <color rgb="FFFFFFFF"/>
        <rFont val="29LT Azer Medium"/>
        <family val="0"/>
        <charset val="1"/>
      </rPr>
      <t xml:space="preserve">OID)
Oversight and Institutional Development</t>
    </r>
  </si>
  <si>
    <r>
      <rPr>
        <sz val="15"/>
        <color rgb="FFFFFFFF"/>
        <rFont val="FreeSans"/>
        <family val="2"/>
      </rPr>
      <t xml:space="preserve">دليل قالب متابعة الأداء</t>
    </r>
    <r>
      <rPr>
        <sz val="15"/>
        <color rgb="FFFFFFFF"/>
        <rFont val="29LT Azer Medium"/>
        <family val="0"/>
        <charset val="1"/>
      </rPr>
      <t xml:space="preserve">: </t>
    </r>
    <r>
      <rPr>
        <sz val="15"/>
        <color rgb="FFFFFFFF"/>
        <rFont val="FreeSans"/>
        <family val="2"/>
      </rPr>
      <t xml:space="preserve">المنهجية وإرشادات الاستخدام</t>
    </r>
  </si>
  <si>
    <r>
      <rPr>
        <sz val="12"/>
        <color rgb="FF000000"/>
        <rFont val="FreeSans"/>
        <family val="2"/>
      </rPr>
      <t xml:space="preserve">السلام عليكم ورحمة الله وبركاته، وبعد</t>
    </r>
    <r>
      <rPr>
        <sz val="12"/>
        <color rgb="FF000000"/>
        <rFont val="Tajawal"/>
        <family val="0"/>
        <charset val="1"/>
      </rPr>
      <t xml:space="preserve">:</t>
    </r>
  </si>
  <si>
    <r>
      <rPr>
        <sz val="12"/>
        <color rgb="FF000000"/>
        <rFont val="FreeSans"/>
        <family val="2"/>
      </rPr>
      <t xml:space="preserve">بين أيديكم </t>
    </r>
    <r>
      <rPr>
        <sz val="12"/>
        <color rgb="FF000000"/>
        <rFont val="Tajawal"/>
        <family val="0"/>
        <charset val="1"/>
      </rPr>
      <t xml:space="preserve">«</t>
    </r>
    <r>
      <rPr>
        <sz val="12"/>
        <color rgb="FF000000"/>
        <rFont val="FreeSans"/>
        <family val="2"/>
      </rPr>
      <t xml:space="preserve">قالب متابعة الأداء</t>
    </r>
    <r>
      <rPr>
        <sz val="12"/>
        <color rgb="FF000000"/>
        <rFont val="Tajawal"/>
        <family val="0"/>
        <charset val="1"/>
      </rPr>
      <t xml:space="preserve">»</t>
    </r>
    <r>
      <rPr>
        <sz val="12"/>
        <color rgb="FF000000"/>
        <rFont val="FreeSans"/>
        <family val="2"/>
      </rPr>
      <t xml:space="preserve">، وهو الأداة التي تتابع بها كل مؤسسة مؤشرات أدائها وأنشطتها خلال العام، وتُعِدّ منها تقاريرها الربعية والسنوية، ونقرأ من خلاله أداء مؤسساتنا جميعًا بلغة واحدة</t>
    </r>
    <r>
      <rPr>
        <sz val="12"/>
        <color rgb="FF000000"/>
        <rFont val="Tajawal"/>
        <family val="0"/>
        <charset val="1"/>
      </rPr>
      <t xml:space="preserve">. </t>
    </r>
    <r>
      <rPr>
        <sz val="12"/>
        <color rgb="FF000000"/>
        <rFont val="FreeSans"/>
        <family val="2"/>
      </rPr>
      <t xml:space="preserve">وقد حرصتُ في هذا الدليل على ألا أكتفي بشرح الخانات والمعادلات، بل أن أشرح المنطق الذي بُني عليه الملف؛ فمن فهم لماذا نقيس أحسن كيف يقيس</t>
    </r>
    <r>
      <rPr>
        <sz val="12"/>
        <color rgb="FF000000"/>
        <rFont val="Tajawal"/>
        <family val="0"/>
        <charset val="1"/>
      </rPr>
      <t xml:space="preserve">. </t>
    </r>
    <r>
      <rPr>
        <sz val="12"/>
        <color rgb="FF000000"/>
        <rFont val="FreeSans"/>
        <family val="2"/>
      </rPr>
      <t xml:space="preserve">أرجو أن يُقرأ الدليل كاملًا قبل التعبئة الأولى، وأن يكون المرجع عند كل التباس</t>
    </r>
    <r>
      <rPr>
        <sz val="12"/>
        <color rgb="FF000000"/>
        <rFont val="Tajawal"/>
        <family val="0"/>
        <charset val="1"/>
      </rPr>
      <t xml:space="preserve">.</t>
    </r>
  </si>
  <si>
    <r>
      <rPr>
        <sz val="14"/>
        <color rgb="FFFFFFFF"/>
        <rFont val="FreeSans"/>
        <family val="2"/>
      </rPr>
      <t xml:space="preserve">أولًا</t>
    </r>
    <r>
      <rPr>
        <sz val="14"/>
        <color rgb="FFFFFFFF"/>
        <rFont val="29LT Azer Medium"/>
        <family val="0"/>
        <charset val="1"/>
      </rPr>
      <t xml:space="preserve">: </t>
    </r>
    <r>
      <rPr>
        <sz val="14"/>
        <color rgb="FFFFFFFF"/>
        <rFont val="FreeSans"/>
        <family val="2"/>
      </rPr>
      <t xml:space="preserve">مكونات الملف ودورة العمل</t>
    </r>
  </si>
  <si>
    <r>
      <rPr>
        <sz val="12"/>
        <color rgb="FF000000"/>
        <rFont val="FreeSans"/>
        <family val="2"/>
      </rPr>
      <t xml:space="preserve">يتكون الملف من أوراق مترابطة؛ تُعبَّأ البيانات في كل منها مرة واحدة، وتنتقل تلقائيًا إلى حيث تُحتاج</t>
    </r>
    <r>
      <rPr>
        <sz val="12"/>
        <color rgb="FF000000"/>
        <rFont val="Tajawal"/>
        <family val="0"/>
        <charset val="1"/>
      </rPr>
      <t xml:space="preserve">:</t>
    </r>
  </si>
  <si>
    <t xml:space="preserve">الورقة</t>
  </si>
  <si>
    <t xml:space="preserve">الغرض</t>
  </si>
  <si>
    <t xml:space="preserve">متى تُعبَّأ</t>
  </si>
  <si>
    <t xml:space="preserve">KPI Tracking</t>
  </si>
  <si>
    <r>
      <rPr>
        <sz val="11.5"/>
        <color rgb="FF000000"/>
        <rFont val="FreeSans"/>
        <family val="2"/>
      </rPr>
      <t xml:space="preserve">بطاقة الأداء المتوازن</t>
    </r>
    <r>
      <rPr>
        <sz val="11.5"/>
        <color rgb="FF000000"/>
        <rFont val="Tajawal"/>
        <family val="0"/>
        <charset val="1"/>
      </rPr>
      <t xml:space="preserve">: </t>
    </r>
    <r>
      <rPr>
        <sz val="11.5"/>
        <color rgb="FF000000"/>
        <rFont val="FreeSans"/>
        <family val="2"/>
      </rPr>
      <t xml:space="preserve">الأهداف والمؤشرات وأوزانها ومستهدفاتها والمنجز الفعلي لكل فترة، مع حساب نسب الإنجاز والأداء الكلي تلقائيًا</t>
    </r>
    <r>
      <rPr>
        <sz val="11.5"/>
        <color rgb="FF000000"/>
        <rFont val="Tajawal"/>
        <family val="0"/>
        <charset val="1"/>
      </rPr>
      <t xml:space="preserve">.</t>
    </r>
  </si>
  <si>
    <t xml:space="preserve">عند التخطيط، ثم كل ربع</t>
  </si>
  <si>
    <r>
      <rPr>
        <sz val="11.5"/>
        <color rgb="FF000000"/>
        <rFont val="FreeSans"/>
        <family val="2"/>
      </rPr>
      <t xml:space="preserve">الأنشطة
</t>
    </r>
    <r>
      <rPr>
        <sz val="11.5"/>
        <color rgb="FF000000"/>
        <rFont val="Tajawal"/>
        <family val="0"/>
        <charset val="1"/>
      </rPr>
      <t xml:space="preserve">(تقرير تنفيذ الخطة التشغيلية)</t>
    </r>
  </si>
  <si>
    <r>
      <rPr>
        <sz val="11.5"/>
        <color rgb="FF000000"/>
        <rFont val="FreeSans"/>
        <family val="2"/>
      </rPr>
      <t xml:space="preserve">سجل موحد للبرامج والأنشطة والفعاليات المجتمعية والتدريب، كل منها في سطر مع ربعه ونوعه، مع إجماليات حسب النوع للفترة المختارة وللسنة</t>
    </r>
    <r>
      <rPr>
        <sz val="11.5"/>
        <color rgb="FF000000"/>
        <rFont val="Tajawal"/>
        <family val="0"/>
        <charset val="1"/>
      </rPr>
      <t xml:space="preserve">.</t>
    </r>
  </si>
  <si>
    <t xml:space="preserve">كل ربع</t>
  </si>
  <si>
    <t xml:space="preserve">الملخص</t>
  </si>
  <si>
    <r>
      <rPr>
        <sz val="11.5"/>
        <color rgb="FF000000"/>
        <rFont val="FreeSans"/>
        <family val="2"/>
      </rPr>
      <t xml:space="preserve">تقرير الأداء</t>
    </r>
    <r>
      <rPr>
        <sz val="11.5"/>
        <color rgb="FF000000"/>
        <rFont val="Tajawal"/>
        <family val="0"/>
        <charset val="1"/>
      </rPr>
      <t xml:space="preserve">: </t>
    </r>
    <r>
      <rPr>
        <sz val="11.5"/>
        <color rgb="FF000000"/>
        <rFont val="FreeSans"/>
        <family val="2"/>
      </rPr>
      <t xml:space="preserve">يقرأ نتائج المؤشرات وملخص الخطة التشغيلية تلقائيًا، وتُكتب فيه الإنجازات والتحديات والمقترحات والإحصاءات السنوية</t>
    </r>
    <r>
      <rPr>
        <sz val="11.5"/>
        <color rgb="FF000000"/>
        <rFont val="Tajawal"/>
        <family val="0"/>
        <charset val="1"/>
      </rPr>
      <t xml:space="preserve">.</t>
    </r>
  </si>
  <si>
    <t xml:space="preserve">كل ربع، والإحصاءات السنوية في الربع الرابع</t>
  </si>
  <si>
    <t xml:space="preserve">Data</t>
  </si>
  <si>
    <r>
      <rPr>
        <sz val="11.5"/>
        <color rgb="FF000000"/>
        <rFont val="FreeSans"/>
        <family val="2"/>
      </rPr>
      <t xml:space="preserve">القوائم والإعدادات التي تعتمد عليها المعادلات</t>
    </r>
    <r>
      <rPr>
        <sz val="11.5"/>
        <color rgb="FF000000"/>
        <rFont val="Tajawal"/>
        <family val="0"/>
        <charset val="1"/>
      </rPr>
      <t xml:space="preserve">.</t>
    </r>
  </si>
  <si>
    <t xml:space="preserve">لا تُعبَّأ ولا تُعدَّل</t>
  </si>
  <si>
    <t xml:space="preserve">دورة العمل</t>
  </si>
  <si>
    <r>
      <rPr>
        <sz val="12"/>
        <color rgb="FF000000"/>
        <rFont val="FreeSans"/>
        <family val="2"/>
      </rPr>
      <t xml:space="preserve">في بداية العام</t>
    </r>
    <r>
      <rPr>
        <sz val="12"/>
        <color rgb="FF000000"/>
        <rFont val="Tajawal"/>
        <family val="0"/>
        <charset val="1"/>
      </rPr>
      <t xml:space="preserve">: </t>
    </r>
    <r>
      <rPr>
        <sz val="12"/>
        <color rgb="FF000000"/>
        <rFont val="FreeSans"/>
        <family val="2"/>
      </rPr>
      <t xml:space="preserve">تُعتمد الأهداف والمؤشرات ثم المصفوفة كاملة </t>
    </r>
    <r>
      <rPr>
        <sz val="12"/>
        <color rgb="FF000000"/>
        <rFont val="Tajawal"/>
        <family val="0"/>
        <charset val="1"/>
      </rPr>
      <t xml:space="preserve">(</t>
    </r>
    <r>
      <rPr>
        <sz val="12"/>
        <color rgb="FF000000"/>
        <rFont val="FreeSans"/>
        <family val="2"/>
      </rPr>
      <t xml:space="preserve">انظر الخطوة </t>
    </r>
    <r>
      <rPr>
        <sz val="12"/>
        <color rgb="FF000000"/>
        <rFont val="Tajawal"/>
        <family val="0"/>
        <charset val="1"/>
      </rPr>
      <t xml:space="preserve">3 </t>
    </r>
    <r>
      <rPr>
        <sz val="12"/>
        <color rgb="FF000000"/>
        <rFont val="FreeSans"/>
        <family val="2"/>
      </rPr>
      <t xml:space="preserve">في القسم الرابع</t>
    </r>
    <r>
      <rPr>
        <sz val="12"/>
        <color rgb="FF000000"/>
        <rFont val="Tajawal"/>
        <family val="0"/>
        <charset val="1"/>
      </rPr>
      <t xml:space="preserve">)</t>
    </r>
    <r>
      <rPr>
        <sz val="12"/>
        <color rgb="FF000000"/>
        <rFont val="FreeSans"/>
        <family val="2"/>
      </rPr>
      <t xml:space="preserve">، وتُخطَّط الأنشطة</t>
    </r>
    <r>
      <rPr>
        <sz val="12"/>
        <color rgb="FF000000"/>
        <rFont val="Tajawal"/>
        <family val="0"/>
        <charset val="1"/>
      </rPr>
      <t xml:space="preserve">. </t>
    </r>
    <r>
      <rPr>
        <sz val="12"/>
        <color rgb="FF000000"/>
        <rFont val="FreeSans"/>
        <family val="2"/>
      </rPr>
      <t xml:space="preserve">وفي نهاية كل ربع</t>
    </r>
    <r>
      <rPr>
        <sz val="12"/>
        <color rgb="FF000000"/>
        <rFont val="Tajawal"/>
        <family val="0"/>
        <charset val="1"/>
      </rPr>
      <t xml:space="preserve">: </t>
    </r>
    <r>
      <rPr>
        <sz val="12"/>
        <color rgb="FF000000"/>
        <rFont val="FreeSans"/>
        <family val="2"/>
      </rPr>
      <t xml:space="preserve">يُسجَّل المنجز الفعلي للمؤشرات، وتُضاف أنشطة الربع، وتُكتب إنجازاته وتحدياته، ثم تُختار الفترة في رأس ورقة </t>
    </r>
    <r>
      <rPr>
        <sz val="12"/>
        <color rgb="FF000000"/>
        <rFont val="Tajawal"/>
        <family val="0"/>
        <charset val="1"/>
      </rPr>
      <t xml:space="preserve">KPI Tracking </t>
    </r>
    <r>
      <rPr>
        <sz val="12"/>
        <color rgb="FF000000"/>
        <rFont val="FreeSans"/>
        <family val="2"/>
      </rPr>
      <t xml:space="preserve">ويُرسَل الملف إلى المكتب، فيكون هو تقرير ذلك الربع</t>
    </r>
    <r>
      <rPr>
        <sz val="12"/>
        <color rgb="FF000000"/>
        <rFont val="Tajawal"/>
        <family val="0"/>
        <charset val="1"/>
      </rPr>
      <t xml:space="preserve">. </t>
    </r>
    <r>
      <rPr>
        <sz val="12"/>
        <color rgb="FF000000"/>
        <rFont val="FreeSans"/>
        <family val="2"/>
      </rPr>
      <t xml:space="preserve">وفي الربع الرابع تُعبَّأ الإحصاءات السنوية والمقترحات، فيكون الملف هو التقرير السنوي</t>
    </r>
    <r>
      <rPr>
        <sz val="12"/>
        <color rgb="FF000000"/>
        <rFont val="Tajawal"/>
        <family val="0"/>
        <charset val="1"/>
      </rPr>
      <t xml:space="preserve">.</t>
    </r>
  </si>
  <si>
    <t xml:space="preserve">ملف واحد للعام</t>
  </si>
  <si>
    <r>
      <rPr>
        <sz val="12"/>
        <color rgb="FF000000"/>
        <rFont val="FreeSans"/>
        <family val="2"/>
      </rPr>
      <t xml:space="preserve">تعمل المؤسسة على الملف نفسه طوال العام، فيبني كل ربع على ما قبله ولا يُعاد إدخال شيء</t>
    </r>
    <r>
      <rPr>
        <sz val="12"/>
        <color rgb="FF000000"/>
        <rFont val="Tajawal"/>
        <family val="0"/>
        <charset val="1"/>
      </rPr>
      <t xml:space="preserve">. </t>
    </r>
    <r>
      <rPr>
        <sz val="12"/>
        <color rgb="FF000000"/>
        <rFont val="FreeSans"/>
        <family val="2"/>
      </rPr>
      <t xml:space="preserve">ويحتفظ المكتب بنسخة كل ربع كما وصلته</t>
    </r>
    <r>
      <rPr>
        <sz val="12"/>
        <color rgb="FF000000"/>
        <rFont val="Tajawal"/>
        <family val="0"/>
        <charset val="1"/>
      </rPr>
      <t xml:space="preserve">.</t>
    </r>
  </si>
  <si>
    <r>
      <rPr>
        <sz val="14"/>
        <color rgb="FFFFFFFF"/>
        <rFont val="FreeSans"/>
        <family val="2"/>
      </rPr>
      <t xml:space="preserve">ثانيًا</t>
    </r>
    <r>
      <rPr>
        <sz val="14"/>
        <color rgb="FFFFFFFF"/>
        <rFont val="29LT Azer Medium"/>
        <family val="0"/>
        <charset val="1"/>
      </rPr>
      <t xml:space="preserve">: </t>
    </r>
    <r>
      <rPr>
        <sz val="14"/>
        <color rgb="FFFFFFFF"/>
        <rFont val="FreeSans"/>
        <family val="2"/>
      </rPr>
      <t xml:space="preserve">لماذا نقيس؟</t>
    </r>
  </si>
  <si>
    <t xml:space="preserve">القياس للتعلّم</t>
  </si>
  <si>
    <r>
      <rPr>
        <sz val="12"/>
        <color rgb="FF000000"/>
        <rFont val="FreeSans"/>
        <family val="2"/>
      </rPr>
      <t xml:space="preserve">لا نقيس لنحاسب، بل لنعرف أين نقف من أهدافنا ونصحّح المسار قبل نهاية العام لا بعده</t>
    </r>
    <r>
      <rPr>
        <sz val="12"/>
        <color rgb="FF000000"/>
        <rFont val="Tajawal"/>
        <family val="0"/>
        <charset val="1"/>
      </rPr>
      <t xml:space="preserve">.</t>
    </r>
  </si>
  <si>
    <t xml:space="preserve">ما يُقاس يُدار</t>
  </si>
  <si>
    <r>
      <rPr>
        <sz val="12"/>
        <color rgb="FF000000"/>
        <rFont val="FreeSans"/>
        <family val="2"/>
      </rPr>
      <t xml:space="preserve">وما يُقاس خطأ يُدار خطأ؛ فالمؤشر الرديء أسوأ من غيابه، لأنه يمنح ثقة زائفة ويوجّه الجهد إلى غير موضعه</t>
    </r>
    <r>
      <rPr>
        <sz val="12"/>
        <color rgb="FF000000"/>
        <rFont val="Tajawal"/>
        <family val="0"/>
        <charset val="1"/>
      </rPr>
      <t xml:space="preserve">.</t>
    </r>
  </si>
  <si>
    <t xml:space="preserve">لغة مشتركة</t>
  </si>
  <si>
    <r>
      <rPr>
        <sz val="12"/>
        <color rgb="FF000000"/>
        <rFont val="FreeSans"/>
        <family val="2"/>
      </rPr>
      <t xml:space="preserve">مؤسساتنا مختلفة الطبيعة بين إنسانية وتعليمية وتنموية، لكنها تشترك في منهجية واحدة تتيح المقارنة العادلة، وتبادل الخبرات، وتجميع أداء الشبكة كلها</t>
    </r>
    <r>
      <rPr>
        <sz val="12"/>
        <color rgb="FF000000"/>
        <rFont val="Tajawal"/>
        <family val="0"/>
        <charset val="1"/>
      </rPr>
      <t xml:space="preserve">.</t>
    </r>
  </si>
  <si>
    <t xml:space="preserve">الصدق قبل الجمال</t>
  </si>
  <si>
    <r>
      <rPr>
        <sz val="12"/>
        <color rgb="FF000000"/>
        <rFont val="FreeSans"/>
        <family val="2"/>
      </rPr>
      <t xml:space="preserve">نسبة إنجاز متواضعة صادقة أنفع للمؤسسة من نسبة عالية لا تعكس الواقع؛ فالأولى تفتح باب التحسين، والثانية تغلقه</t>
    </r>
    <r>
      <rPr>
        <sz val="12"/>
        <color rgb="FF000000"/>
        <rFont val="Tajawal"/>
        <family val="0"/>
        <charset val="1"/>
      </rPr>
      <t xml:space="preserve">.</t>
    </r>
  </si>
  <si>
    <r>
      <rPr>
        <sz val="14"/>
        <color rgb="FFFFFFFF"/>
        <rFont val="FreeSans"/>
        <family val="2"/>
      </rPr>
      <t xml:space="preserve">ثالثًا</t>
    </r>
    <r>
      <rPr>
        <sz val="14"/>
        <color rgb="FFFFFFFF"/>
        <rFont val="29LT Azer Medium"/>
        <family val="0"/>
        <charset val="1"/>
      </rPr>
      <t xml:space="preserve">: </t>
    </r>
    <r>
      <rPr>
        <sz val="14"/>
        <color rgb="FFFFFFFF"/>
        <rFont val="FreeSans"/>
        <family val="2"/>
      </rPr>
      <t xml:space="preserve">منطق بطاقة الأداء المتوازن</t>
    </r>
  </si>
  <si>
    <r>
      <rPr>
        <sz val="12"/>
        <color rgb="FF000000"/>
        <rFont val="FreeSans"/>
        <family val="2"/>
      </rPr>
      <t xml:space="preserve">تنظر البطاقة إلى المؤسسة من أربع زوايا مجتمعة، لأن النظر من زاوية واحدة يُخفي ما يجري في غيرها؛ فقد تتحسن المؤشرات المالية على حساب الموظفين، أو تُنجَز الأنشطة دون أن يصل أثرها إلى المستفيد</t>
    </r>
    <r>
      <rPr>
        <sz val="12"/>
        <color rgb="FF000000"/>
        <rFont val="Tajawal"/>
        <family val="0"/>
        <charset val="1"/>
      </rPr>
      <t xml:space="preserve">.</t>
    </r>
  </si>
  <si>
    <t xml:space="preserve">المنظور</t>
  </si>
  <si>
    <t xml:space="preserve">السؤال الذي يجيب عنه</t>
  </si>
  <si>
    <t xml:space="preserve">محاور التركيز</t>
  </si>
  <si>
    <t xml:space="preserve">مثال على مؤشر</t>
  </si>
  <si>
    <t xml:space="preserve">أصحاب المصلحة</t>
  </si>
  <si>
    <t xml:space="preserve">هل نحقق الأثر المنتظر لمن نخدمهم ولشركائنا والجهات التي نعمل معها؟</t>
  </si>
  <si>
    <t xml:space="preserve">رضا المستفيدين، جودة المخرجات وأثرها، زيادة الوصول، العلاقة مع المانحين والشركاء، السمعة المؤسسية</t>
  </si>
  <si>
    <t xml:space="preserve">نسبة رضا المستفيدين عن الخدمات</t>
  </si>
  <si>
    <t xml:space="preserve">العمليات الداخلية</t>
  </si>
  <si>
    <t xml:space="preserve">في أي عملياتنا يجب أن نتميز لنحقق ذلك الأثر؟</t>
  </si>
  <si>
    <t xml:space="preserve">تنفيذ المشاريع، كفاءة الإجراءات وسرعتها، جودة الخدمة والامتثال</t>
  </si>
  <si>
    <t xml:space="preserve">متوسط مدة الاستجابة لطلبات المستفيدين</t>
  </si>
  <si>
    <t xml:space="preserve">التعلّم والنمو</t>
  </si>
  <si>
    <t xml:space="preserve">ما الذي نحتاجه في أفرادنا وأنظمتنا وثقافتنا لنتطور باستمرار؟</t>
  </si>
  <si>
    <t xml:space="preserve">تطوير الكفاءات والتدريب، الرضا الوظيفي والاستقرار، الحوكمة المؤسسية، التحول الرقمي، الأنظمة والمعرفة المؤسسية، ثقافة التحسين</t>
  </si>
  <si>
    <t xml:space="preserve">نسبة تنفيذ خطة التدريب</t>
  </si>
  <si>
    <t xml:space="preserve">المالي</t>
  </si>
  <si>
    <t xml:space="preserve">كيف نضمن الاستدامة والكفاءة في استخدام الموارد؟</t>
  </si>
  <si>
    <t xml:space="preserve">تنويع الإيرادات والاستدامة، كفاءة الإنفاق، الالتزام بالموازنة</t>
  </si>
  <si>
    <t xml:space="preserve">نسبة الإيرادات من مصادر غير المانحين</t>
  </si>
  <si>
    <r>
      <rPr>
        <sz val="12"/>
        <color rgb="FF000000"/>
        <rFont val="FreeSans"/>
        <family val="2"/>
      </rPr>
      <t xml:space="preserve">وللتمييز بين منظوري العمليات الداخلية والتعلّم والنمو</t>
    </r>
    <r>
      <rPr>
        <sz val="12"/>
        <color rgb="FF000000"/>
        <rFont val="Tajawal"/>
        <family val="0"/>
        <charset val="1"/>
      </rPr>
      <t xml:space="preserve">: </t>
    </r>
    <r>
      <rPr>
        <sz val="12"/>
        <color rgb="FF000000"/>
        <rFont val="FreeSans"/>
        <family val="2"/>
      </rPr>
      <t xml:space="preserve">العمليات الداخلية ما يتكرر تنفيذه في كل دورة عمل، أما التعلّم والنمو فقدرات تُبنى وتتراكم وتبقى في المؤسسة</t>
    </r>
    <r>
      <rPr>
        <sz val="12"/>
        <color rgb="FF000000"/>
        <rFont val="Tajawal"/>
        <family val="0"/>
        <charset val="1"/>
      </rPr>
      <t xml:space="preserve">.</t>
    </r>
  </si>
  <si>
    <t xml:space="preserve">علاقة السبب والنتيجة</t>
  </si>
  <si>
    <r>
      <rPr>
        <sz val="12"/>
        <color rgb="FF000000"/>
        <rFont val="FreeSans"/>
        <family val="2"/>
      </rPr>
      <t xml:space="preserve">المناظير ليست قوائم منفصلة، بل سلسلة</t>
    </r>
    <r>
      <rPr>
        <sz val="12"/>
        <color rgb="FF000000"/>
        <rFont val="Tajawal"/>
        <family val="0"/>
        <charset val="1"/>
      </rPr>
      <t xml:space="preserve">: </t>
    </r>
    <r>
      <rPr>
        <sz val="12"/>
        <color rgb="FF000000"/>
        <rFont val="FreeSans"/>
        <family val="2"/>
      </rPr>
      <t xml:space="preserve">الاستثمار في التعلّم والنمو يحسّن العمليات، والعمليات الجيدة تحقق الأثر لأصحاب المصلحة، والمنظور المالي يضمن استمرار ذلك كله</t>
    </r>
    <r>
      <rPr>
        <sz val="12"/>
        <color rgb="FF000000"/>
        <rFont val="Tajawal"/>
        <family val="0"/>
        <charset val="1"/>
      </rPr>
      <t xml:space="preserve">. </t>
    </r>
    <r>
      <rPr>
        <sz val="12"/>
        <color rgb="FF000000"/>
        <rFont val="FreeSans"/>
        <family val="2"/>
      </rPr>
      <t xml:space="preserve">وفي مؤسساتنا غير الربحية تأتي رسالتنا تجاه أصحاب المصلحة في رأس السلسلة، ويبقى المال وسيلة للاستدامة لا غاية في ذاته</t>
    </r>
    <r>
      <rPr>
        <sz val="12"/>
        <color rgb="FF000000"/>
        <rFont val="Tajawal"/>
        <family val="0"/>
        <charset val="1"/>
      </rPr>
      <t xml:space="preserve">.</t>
    </r>
  </si>
  <si>
    <t xml:space="preserve">معنى التوازن</t>
  </si>
  <si>
    <r>
      <rPr>
        <sz val="12"/>
        <color rgb="FF000000"/>
        <rFont val="FreeSans"/>
        <family val="2"/>
      </rPr>
      <t xml:space="preserve">لذلك خصّصنا لكل منظور </t>
    </r>
    <r>
      <rPr>
        <sz val="12"/>
        <color rgb="FF000000"/>
        <rFont val="Tajawal"/>
        <family val="0"/>
        <charset val="1"/>
      </rPr>
      <t xml:space="preserve">25% </t>
    </r>
    <r>
      <rPr>
        <sz val="12"/>
        <color rgb="FF000000"/>
        <rFont val="FreeSans"/>
        <family val="2"/>
      </rPr>
      <t xml:space="preserve">من الوزن بالتساوي، حتى لا يطغى منظور على آخر، ولا يُغطّي التفوق في جانب على الإخفاق في جانب</t>
    </r>
    <r>
      <rPr>
        <sz val="12"/>
        <color rgb="FF000000"/>
        <rFont val="Tajawal"/>
        <family val="0"/>
        <charset val="1"/>
      </rPr>
      <t xml:space="preserve">.</t>
    </r>
  </si>
  <si>
    <r>
      <rPr>
        <sz val="14"/>
        <color rgb="FFFFFFFF"/>
        <rFont val="FreeSans"/>
        <family val="2"/>
      </rPr>
      <t xml:space="preserve">رابعًا</t>
    </r>
    <r>
      <rPr>
        <sz val="14"/>
        <color rgb="FFFFFFFF"/>
        <rFont val="29LT Azer Medium"/>
        <family val="0"/>
        <charset val="1"/>
      </rPr>
      <t xml:space="preserve">: </t>
    </r>
    <r>
      <rPr>
        <sz val="14"/>
        <color rgb="FFFFFFFF"/>
        <rFont val="FreeSans"/>
        <family val="2"/>
      </rPr>
      <t xml:space="preserve">منهجية المؤشرات خطوة بخطوة</t>
    </r>
  </si>
  <si>
    <r>
      <rPr>
        <b val="true"/>
        <sz val="12"/>
        <color rgb="FF137B79"/>
        <rFont val="FreeSans"/>
        <family val="2"/>
      </rPr>
      <t xml:space="preserve">الخطوة </t>
    </r>
    <r>
      <rPr>
        <b val="true"/>
        <sz val="12"/>
        <color rgb="FF137B79"/>
        <rFont val="Tajawal"/>
        <family val="0"/>
        <charset val="1"/>
      </rPr>
      <t xml:space="preserve">1
</t>
    </r>
    <r>
      <rPr>
        <b val="true"/>
        <sz val="12"/>
        <color rgb="FF137B79"/>
        <rFont val="FreeSans"/>
        <family val="2"/>
      </rPr>
      <t xml:space="preserve">الأهداف</t>
    </r>
  </si>
  <si>
    <r>
      <rPr>
        <sz val="12"/>
        <color rgb="FF000000"/>
        <rFont val="FreeSans"/>
        <family val="2"/>
      </rPr>
      <t xml:space="preserve">ابدؤوا من الأهداف الاستراتيجية المعتمدة في خطة مؤسستكم، لا من المؤشرات المتاحة</t>
    </r>
    <r>
      <rPr>
        <sz val="12"/>
        <color rgb="FF000000"/>
        <rFont val="Tajawal"/>
        <family val="0"/>
        <charset val="1"/>
      </rPr>
      <t xml:space="preserve">. </t>
    </r>
    <r>
      <rPr>
        <sz val="12"/>
        <color rgb="FF000000"/>
        <rFont val="FreeSans"/>
        <family val="2"/>
      </rPr>
      <t xml:space="preserve">ويُصاغ الهدف بصيغة نتيجة مرغوبة </t>
    </r>
    <r>
      <rPr>
        <sz val="12"/>
        <color rgb="FF000000"/>
        <rFont val="Tajawal"/>
        <family val="0"/>
        <charset val="1"/>
      </rPr>
      <t xml:space="preserve">(«</t>
    </r>
    <r>
      <rPr>
        <sz val="12"/>
        <color rgb="FF000000"/>
        <rFont val="FreeSans"/>
        <family val="2"/>
      </rPr>
      <t xml:space="preserve">تحسين رضا المستفيدين عن الخدمات</t>
    </r>
    <r>
      <rPr>
        <sz val="12"/>
        <color rgb="FF000000"/>
        <rFont val="Tajawal"/>
        <family val="0"/>
        <charset val="1"/>
      </rPr>
      <t xml:space="preserve">»)</t>
    </r>
    <r>
      <rPr>
        <sz val="12"/>
        <color rgb="FF000000"/>
        <rFont val="FreeSans"/>
        <family val="2"/>
      </rPr>
      <t xml:space="preserve">، لا بصيغة نشاط </t>
    </r>
    <r>
      <rPr>
        <sz val="12"/>
        <color rgb="FF000000"/>
        <rFont val="Tajawal"/>
        <family val="0"/>
        <charset val="1"/>
      </rPr>
      <t xml:space="preserve">(«</t>
    </r>
    <r>
      <rPr>
        <sz val="12"/>
        <color rgb="FF000000"/>
        <rFont val="FreeSans"/>
        <family val="2"/>
      </rPr>
      <t xml:space="preserve">تنفيذ استبيان</t>
    </r>
    <r>
      <rPr>
        <sz val="12"/>
        <color rgb="FF000000"/>
        <rFont val="Tajawal"/>
        <family val="0"/>
        <charset val="1"/>
      </rPr>
      <t xml:space="preserve">»).</t>
    </r>
  </si>
  <si>
    <r>
      <rPr>
        <b val="true"/>
        <sz val="12"/>
        <color rgb="FF137B79"/>
        <rFont val="FreeSans"/>
        <family val="2"/>
      </rPr>
      <t xml:space="preserve">الخطوة </t>
    </r>
    <r>
      <rPr>
        <b val="true"/>
        <sz val="12"/>
        <color rgb="FF137B79"/>
        <rFont val="Tajawal"/>
        <family val="0"/>
        <charset val="1"/>
      </rPr>
      <t xml:space="preserve">2
</t>
    </r>
    <r>
      <rPr>
        <b val="true"/>
        <sz val="12"/>
        <color rgb="FF137B79"/>
        <rFont val="FreeSans"/>
        <family val="2"/>
      </rPr>
      <t xml:space="preserve">المؤشر</t>
    </r>
  </si>
  <si>
    <r>
      <rPr>
        <sz val="12"/>
        <color rgb="FF000000"/>
        <rFont val="FreeSans"/>
        <family val="2"/>
      </rPr>
      <t xml:space="preserve">المؤشر الجيد يقيس الهدف مباشرة، وتتوفر له بيانات موثوقة، ويكون تعريفه محددًا بحيث لو حسبه شخصان لوصلا إلى الرقم نفسه</t>
    </r>
    <r>
      <rPr>
        <sz val="12"/>
        <color rgb="FF000000"/>
        <rFont val="Tajawal"/>
        <family val="0"/>
        <charset val="1"/>
      </rPr>
      <t xml:space="preserve">. </t>
    </r>
    <r>
      <rPr>
        <sz val="12"/>
        <color rgb="FF000000"/>
        <rFont val="FreeSans"/>
        <family val="2"/>
      </rPr>
      <t xml:space="preserve">ويكفي من مؤشرين إلى أربعة لكل هدف؛ فكثرة المؤشرات تشتّت ولا تضيف</t>
    </r>
    <r>
      <rPr>
        <sz val="12"/>
        <color rgb="FF000000"/>
        <rFont val="Tajawal"/>
        <family val="0"/>
        <charset val="1"/>
      </rPr>
      <t xml:space="preserve">.</t>
    </r>
  </si>
  <si>
    <r>
      <rPr>
        <b val="true"/>
        <sz val="12"/>
        <color rgb="FF137B79"/>
        <rFont val="FreeSans"/>
        <family val="2"/>
      </rPr>
      <t xml:space="preserve">الخطوة </t>
    </r>
    <r>
      <rPr>
        <b val="true"/>
        <sz val="12"/>
        <color rgb="FF137B79"/>
        <rFont val="Tajawal"/>
        <family val="0"/>
        <charset val="1"/>
      </rPr>
      <t xml:space="preserve">3
</t>
    </r>
    <r>
      <rPr>
        <b val="true"/>
        <sz val="12"/>
        <color rgb="FF137B79"/>
        <rFont val="FreeSans"/>
        <family val="2"/>
      </rPr>
      <t xml:space="preserve">الاعتماد المرحلي</t>
    </r>
  </si>
  <si>
    <r>
      <rPr>
        <sz val="12"/>
        <color rgb="FF000000"/>
        <rFont val="FreeSans"/>
        <family val="2"/>
      </rPr>
      <t xml:space="preserve">يعتمد المكتب المصفوفة على مرحلتين</t>
    </r>
    <r>
      <rPr>
        <sz val="12"/>
        <color rgb="FF000000"/>
        <rFont val="Tajawal"/>
        <family val="0"/>
        <charset val="1"/>
      </rPr>
      <t xml:space="preserve">: </t>
    </r>
    <r>
      <rPr>
        <sz val="12"/>
        <color rgb="FF000000"/>
        <rFont val="FreeSans"/>
        <family val="2"/>
      </rPr>
      <t xml:space="preserve">الأولى للأهداف والمؤشرات قبل أي تعبئة، ويتحقق فيها من انتماء كل هدف إلى منظوره ومن صلاحية مؤشراته؛ والثانية للمصفوفة كاملة بأوزانها ومستهدفاتها قبل بدء القياس</t>
    </r>
    <r>
      <rPr>
        <sz val="12"/>
        <color rgb="FF000000"/>
        <rFont val="Tajawal"/>
        <family val="0"/>
        <charset val="1"/>
      </rPr>
      <t xml:space="preserve">. </t>
    </r>
    <r>
      <rPr>
        <sz val="12"/>
        <color rgb="FF000000"/>
        <rFont val="FreeSans"/>
        <family val="2"/>
      </rPr>
      <t xml:space="preserve">فلا تبدؤوا التعبئة قبل اعتماد المرحلة الأولى، ولا الرصد قبل اعتماد الثانية؛ لأن نقل هدف إلى منظور آخر أو تغيير مؤشر بعد التعبئة يعني إعادة العمل كله</t>
    </r>
    <r>
      <rPr>
        <sz val="12"/>
        <color rgb="FF000000"/>
        <rFont val="Tajawal"/>
        <family val="0"/>
        <charset val="1"/>
      </rPr>
      <t xml:space="preserve">.</t>
    </r>
  </si>
  <si>
    <r>
      <rPr>
        <b val="true"/>
        <sz val="12"/>
        <color rgb="FF137B79"/>
        <rFont val="FreeSans"/>
        <family val="2"/>
      </rPr>
      <t xml:space="preserve">الخطوة </t>
    </r>
    <r>
      <rPr>
        <b val="true"/>
        <sz val="12"/>
        <color rgb="FF137B79"/>
        <rFont val="Tajawal"/>
        <family val="0"/>
        <charset val="1"/>
      </rPr>
      <t xml:space="preserve">4
</t>
    </r>
    <r>
      <rPr>
        <b val="true"/>
        <sz val="12"/>
        <color rgb="FF137B79"/>
        <rFont val="FreeSans"/>
        <family val="2"/>
      </rPr>
      <t xml:space="preserve">القياس والوحدة</t>
    </r>
  </si>
  <si>
    <r>
      <rPr>
        <sz val="12"/>
        <color rgb="FF000000"/>
        <rFont val="FreeSans"/>
        <family val="2"/>
      </rPr>
      <t xml:space="preserve">حددوا طبيعة القياس أولًا</t>
    </r>
    <r>
      <rPr>
        <sz val="12"/>
        <color rgb="FF000000"/>
        <rFont val="Tajawal"/>
        <family val="0"/>
        <charset val="1"/>
      </rPr>
      <t xml:space="preserve">: </t>
    </r>
    <r>
      <rPr>
        <sz val="12"/>
        <color rgb="FF000000"/>
        <rFont val="FreeSans"/>
        <family val="2"/>
      </rPr>
      <t xml:space="preserve">كمي نسبي ووحدته النسبة </t>
    </r>
    <r>
      <rPr>
        <sz val="12"/>
        <color rgb="FF000000"/>
        <rFont val="Tajawal"/>
        <family val="0"/>
        <charset val="1"/>
      </rPr>
      <t xml:space="preserve">%</t>
    </r>
    <r>
      <rPr>
        <sz val="12"/>
        <color rgb="FF000000"/>
        <rFont val="FreeSans"/>
        <family val="2"/>
      </rPr>
      <t xml:space="preserve">، أو كمي عددي ووحداته العدد أو المبلغ أو الأيام، أو نوعي ويُحوَّل إلى درجة على مقياس ليكرت الخماسي ليصبح قابلًا للقياس والمقارنة</t>
    </r>
    <r>
      <rPr>
        <sz val="12"/>
        <color rgb="FF000000"/>
        <rFont val="Tajawal"/>
        <family val="0"/>
        <charset val="1"/>
      </rPr>
      <t xml:space="preserve">.</t>
    </r>
  </si>
  <si>
    <r>
      <rPr>
        <b val="true"/>
        <sz val="12"/>
        <color rgb="FF137B79"/>
        <rFont val="FreeSans"/>
        <family val="2"/>
      </rPr>
      <t xml:space="preserve">الخطوة </t>
    </r>
    <r>
      <rPr>
        <b val="true"/>
        <sz val="12"/>
        <color rgb="FF137B79"/>
        <rFont val="Tajawal"/>
        <family val="0"/>
        <charset val="1"/>
      </rPr>
      <t xml:space="preserve">5
</t>
    </r>
    <r>
      <rPr>
        <b val="true"/>
        <sz val="12"/>
        <color rgb="FF137B79"/>
        <rFont val="FreeSans"/>
        <family val="2"/>
      </rPr>
      <t xml:space="preserve">دور المؤشر</t>
    </r>
  </si>
  <si>
    <r>
      <rPr>
        <sz val="12"/>
        <color rgb="FF000000"/>
        <rFont val="FreeSans"/>
        <family val="2"/>
      </rPr>
      <t xml:space="preserve">المؤشر القيادي يقيس ما نفعله الآن ويقود إلى النتيجة </t>
    </r>
    <r>
      <rPr>
        <sz val="12"/>
        <color rgb="FF000000"/>
        <rFont val="Tajawal"/>
        <family val="0"/>
        <charset val="1"/>
      </rPr>
      <t xml:space="preserve">(</t>
    </r>
    <r>
      <rPr>
        <sz val="12"/>
        <color rgb="FF000000"/>
        <rFont val="FreeSans"/>
        <family val="2"/>
      </rPr>
      <t xml:space="preserve">مثل ساعات التدريب</t>
    </r>
    <r>
      <rPr>
        <sz val="12"/>
        <color rgb="FF000000"/>
        <rFont val="Tajawal"/>
        <family val="0"/>
        <charset val="1"/>
      </rPr>
      <t xml:space="preserve">)</t>
    </r>
    <r>
      <rPr>
        <sz val="12"/>
        <color rgb="FF000000"/>
        <rFont val="FreeSans"/>
        <family val="2"/>
      </rPr>
      <t xml:space="preserve">، ومؤشر النتائج يقيس ما تحقق </t>
    </r>
    <r>
      <rPr>
        <sz val="12"/>
        <color rgb="FF000000"/>
        <rFont val="Tajawal"/>
        <family val="0"/>
        <charset val="1"/>
      </rPr>
      <t xml:space="preserve">(</t>
    </r>
    <r>
      <rPr>
        <sz val="12"/>
        <color rgb="FF000000"/>
        <rFont val="FreeSans"/>
        <family val="2"/>
      </rPr>
      <t xml:space="preserve">مثل رضا المستفيدين</t>
    </r>
    <r>
      <rPr>
        <sz val="12"/>
        <color rgb="FF000000"/>
        <rFont val="Tajawal"/>
        <family val="0"/>
        <charset val="1"/>
      </rPr>
      <t xml:space="preserve">). </t>
    </r>
    <r>
      <rPr>
        <sz val="12"/>
        <color rgb="FF000000"/>
        <rFont val="FreeSans"/>
        <family val="2"/>
      </rPr>
      <t xml:space="preserve">احرصوا أن يجمع كل هدف بين النوعين ما أمكن</t>
    </r>
    <r>
      <rPr>
        <sz val="12"/>
        <color rgb="FF000000"/>
        <rFont val="Tajawal"/>
        <family val="0"/>
        <charset val="1"/>
      </rPr>
      <t xml:space="preserve">: </t>
    </r>
    <r>
      <rPr>
        <sz val="12"/>
        <color rgb="FF000000"/>
        <rFont val="FreeSans"/>
        <family val="2"/>
      </rPr>
      <t xml:space="preserve">فإذا تأخرت النتيجة رجعنا إلى المؤشرات القيادية؛ فإن تأخرت هي أيضًا فالخلل في التنفيذ</t>
    </r>
    <r>
      <rPr>
        <sz val="12"/>
        <color rgb="FF000000"/>
        <rFont val="Tajawal"/>
        <family val="0"/>
        <charset val="1"/>
      </rPr>
      <t xml:space="preserve">.</t>
    </r>
  </si>
  <si>
    <r>
      <rPr>
        <b val="true"/>
        <sz val="12"/>
        <color rgb="FF137B79"/>
        <rFont val="FreeSans"/>
        <family val="2"/>
      </rPr>
      <t xml:space="preserve">الخطوة </t>
    </r>
    <r>
      <rPr>
        <b val="true"/>
        <sz val="12"/>
        <color rgb="FF137B79"/>
        <rFont val="Tajawal"/>
        <family val="0"/>
        <charset val="1"/>
      </rPr>
      <t xml:space="preserve">6
</t>
    </r>
    <r>
      <rPr>
        <b val="true"/>
        <sz val="12"/>
        <color rgb="FF137B79"/>
        <rFont val="FreeSans"/>
        <family val="2"/>
      </rPr>
      <t xml:space="preserve">القطبية</t>
    </r>
  </si>
  <si>
    <r>
      <rPr>
        <sz val="12"/>
        <color rgb="FF000000"/>
        <rFont val="FreeSans"/>
        <family val="2"/>
      </rPr>
      <t xml:space="preserve">تصاعدي</t>
    </r>
    <r>
      <rPr>
        <sz val="12"/>
        <color rgb="FF000000"/>
        <rFont val="Tajawal"/>
        <family val="0"/>
        <charset val="1"/>
      </rPr>
      <t xml:space="preserve">: </t>
    </r>
    <r>
      <rPr>
        <sz val="12"/>
        <color rgb="FF000000"/>
        <rFont val="FreeSans"/>
        <family val="2"/>
      </rPr>
      <t xml:space="preserve">كلما زاد الرقم كان أفضل </t>
    </r>
    <r>
      <rPr>
        <sz val="12"/>
        <color rgb="FF000000"/>
        <rFont val="Tajawal"/>
        <family val="0"/>
        <charset val="1"/>
      </rPr>
      <t xml:space="preserve">(</t>
    </r>
    <r>
      <rPr>
        <sz val="12"/>
        <color rgb="FF000000"/>
        <rFont val="FreeSans"/>
        <family val="2"/>
      </rPr>
      <t xml:space="preserve">عدد المستفيدين</t>
    </r>
    <r>
      <rPr>
        <sz val="12"/>
        <color rgb="FF000000"/>
        <rFont val="Tajawal"/>
        <family val="0"/>
        <charset val="1"/>
      </rPr>
      <t xml:space="preserve">). </t>
    </r>
    <r>
      <rPr>
        <sz val="12"/>
        <color rgb="FF000000"/>
        <rFont val="FreeSans"/>
        <family val="2"/>
      </rPr>
      <t xml:space="preserve">تنازلي</t>
    </r>
    <r>
      <rPr>
        <sz val="12"/>
        <color rgb="FF000000"/>
        <rFont val="Tajawal"/>
        <family val="0"/>
        <charset val="1"/>
      </rPr>
      <t xml:space="preserve">: </t>
    </r>
    <r>
      <rPr>
        <sz val="12"/>
        <color rgb="FF000000"/>
        <rFont val="FreeSans"/>
        <family val="2"/>
      </rPr>
      <t xml:space="preserve">كلما قلّ كان أفضل </t>
    </r>
    <r>
      <rPr>
        <sz val="12"/>
        <color rgb="FF000000"/>
        <rFont val="Tajawal"/>
        <family val="0"/>
        <charset val="1"/>
      </rPr>
      <t xml:space="preserve">(</t>
    </r>
    <r>
      <rPr>
        <sz val="12"/>
        <color rgb="FF000000"/>
        <rFont val="FreeSans"/>
        <family val="2"/>
      </rPr>
      <t xml:space="preserve">مدة الاستجابة، نسبة التسرب</t>
    </r>
    <r>
      <rPr>
        <sz val="12"/>
        <color rgb="FF000000"/>
        <rFont val="Tajawal"/>
        <family val="0"/>
        <charset val="1"/>
      </rPr>
      <t xml:space="preserve">).</t>
    </r>
  </si>
  <si>
    <r>
      <rPr>
        <b val="true"/>
        <sz val="12"/>
        <color rgb="FF137B79"/>
        <rFont val="FreeSans"/>
        <family val="2"/>
      </rPr>
      <t xml:space="preserve">الخطوة </t>
    </r>
    <r>
      <rPr>
        <b val="true"/>
        <sz val="12"/>
        <color rgb="FF137B79"/>
        <rFont val="Tajawal"/>
        <family val="0"/>
        <charset val="1"/>
      </rPr>
      <t xml:space="preserve">7
</t>
    </r>
    <r>
      <rPr>
        <b val="true"/>
        <sz val="12"/>
        <color rgb="FF137B79"/>
        <rFont val="FreeSans"/>
        <family val="2"/>
      </rPr>
      <t xml:space="preserve">طريقة الاحتساب</t>
    </r>
  </si>
  <si>
    <r>
      <rPr>
        <sz val="12"/>
        <color rgb="FF000000"/>
        <rFont val="FreeSans"/>
        <family val="2"/>
      </rPr>
      <t xml:space="preserve">هذا أهم قرار في تعبئة المؤشر، وهو وحده الذي يحدد كيف يُحسب المنجز السنوي، أيًّا كانت الوحدة</t>
    </r>
    <r>
      <rPr>
        <sz val="12"/>
        <color rgb="FF000000"/>
        <rFont val="Tajawal"/>
        <family val="0"/>
        <charset val="1"/>
      </rPr>
      <t xml:space="preserve">. </t>
    </r>
    <r>
      <rPr>
        <sz val="12"/>
        <color rgb="FF000000"/>
        <rFont val="FreeSans"/>
        <family val="2"/>
      </rPr>
      <t xml:space="preserve">وقبل الاختيار اسألوا</t>
    </r>
    <r>
      <rPr>
        <sz val="12"/>
        <color rgb="FF000000"/>
        <rFont val="Tajawal"/>
        <family val="0"/>
        <charset val="1"/>
      </rPr>
      <t xml:space="preserve">: </t>
    </r>
    <r>
      <rPr>
        <sz val="12"/>
        <color rgb="FF000000"/>
        <rFont val="FreeSans"/>
        <family val="2"/>
      </rPr>
      <t xml:space="preserve">هل الرقم الذي سأسجله في هذه الفترة جزءٌ جديد يُضاف إلى ما قبله؟ أم رصيدٌ حتى تاريخه؟ أم قياسٌ لمستوى قائم؟</t>
    </r>
  </si>
  <si>
    <t xml:space="preserve">طريقة الاحتساب</t>
  </si>
  <si>
    <t xml:space="preserve">ماذا يُسجَّل في كل فترة</t>
  </si>
  <si>
    <t xml:space="preserve">كيف يُحسب المنجز السنوي</t>
  </si>
  <si>
    <t xml:space="preserve">أمثلة</t>
  </si>
  <si>
    <t xml:space="preserve">مستقل</t>
  </si>
  <si>
    <t xml:space="preserve">ما أُنجز داخل الفترة فقط</t>
  </si>
  <si>
    <t xml:space="preserve">مجموع الفترات</t>
  </si>
  <si>
    <t xml:space="preserve">عدد المستفيدين الجدد، الإيرادات المحصلة، نسبة إنجاز مقسّمة على الفترات</t>
  </si>
  <si>
    <t xml:space="preserve">تراكمي</t>
  </si>
  <si>
    <t xml:space="preserve">الرصيد المتحقق حتى نهاية الفترة</t>
  </si>
  <si>
    <t xml:space="preserve">آخر قيمة مسجلة</t>
  </si>
  <si>
    <t xml:space="preserve">نسبة إنجاز المشروع حتى تاريخه، عدد الشراكات الفعالة</t>
  </si>
  <si>
    <t xml:space="preserve">متوسط</t>
  </si>
  <si>
    <t xml:space="preserve">قياس مستقل لمستوى قائم</t>
  </si>
  <si>
    <t xml:space="preserve">متوسط الفترات</t>
  </si>
  <si>
    <t xml:space="preserve">نسبة رضا المستفيدين، نسبة الحضور، درجات ليكرت</t>
  </si>
  <si>
    <t xml:space="preserve">سنوي</t>
  </si>
  <si>
    <t xml:space="preserve">قياس واحد في نهاية العام</t>
  </si>
  <si>
    <t xml:space="preserve">قيمة الربع الرابع</t>
  </si>
  <si>
    <t xml:space="preserve">مؤشرات التقييم السنوي</t>
  </si>
  <si>
    <r>
      <rPr>
        <b val="true"/>
        <sz val="11.5"/>
        <color rgb="FF9C0006"/>
        <rFont val="FreeSans"/>
        <family val="2"/>
      </rPr>
      <t xml:space="preserve">تنبيه</t>
    </r>
    <r>
      <rPr>
        <b val="true"/>
        <sz val="11.5"/>
        <color rgb="FF9C0006"/>
        <rFont val="Tajawal"/>
        <family val="0"/>
        <charset val="1"/>
      </rPr>
      <t xml:space="preserve">: </t>
    </r>
    <r>
      <rPr>
        <b val="true"/>
        <sz val="11.5"/>
        <color rgb="FF9C0006"/>
        <rFont val="FreeSans"/>
        <family val="2"/>
      </rPr>
      <t xml:space="preserve">الوحدة وحدها لا تحدد طريقة الاحتساب؛ فالنسبة قد تكون نسبة إنجاز تُجمع، وقد تكون مستوى رضا لا يُجمع أبدًا</t>
    </r>
    <r>
      <rPr>
        <b val="true"/>
        <sz val="11.5"/>
        <color rgb="FF9C0006"/>
        <rFont val="Tajawal"/>
        <family val="0"/>
        <charset val="1"/>
      </rPr>
      <t xml:space="preserve">. </t>
    </r>
    <r>
      <rPr>
        <b val="true"/>
        <sz val="11.5"/>
        <color rgb="FF9C0006"/>
        <rFont val="FreeSans"/>
        <family val="2"/>
      </rPr>
      <t xml:space="preserve">ولو اختير </t>
    </r>
    <r>
      <rPr>
        <b val="true"/>
        <sz val="11.5"/>
        <color rgb="FF9C0006"/>
        <rFont val="Tajawal"/>
        <family val="0"/>
        <charset val="1"/>
      </rPr>
      <t xml:space="preserve">«</t>
    </r>
    <r>
      <rPr>
        <b val="true"/>
        <sz val="11.5"/>
        <color rgb="FF9C0006"/>
        <rFont val="FreeSans"/>
        <family val="2"/>
      </rPr>
      <t xml:space="preserve">مستقل</t>
    </r>
    <r>
      <rPr>
        <b val="true"/>
        <sz val="11.5"/>
        <color rgb="FF9C0006"/>
        <rFont val="Tajawal"/>
        <family val="0"/>
        <charset val="1"/>
      </rPr>
      <t xml:space="preserve">» </t>
    </r>
    <r>
      <rPr>
        <b val="true"/>
        <sz val="11.5"/>
        <color rgb="FF9C0006"/>
        <rFont val="FreeSans"/>
        <family val="2"/>
      </rPr>
      <t xml:space="preserve">لنسبة رضا قيمها </t>
    </r>
    <r>
      <rPr>
        <b val="true"/>
        <sz val="11.5"/>
        <color rgb="FF9C0006"/>
        <rFont val="Tajawal"/>
        <family val="0"/>
        <charset val="1"/>
      </rPr>
      <t xml:space="preserve">78 </t>
    </r>
    <r>
      <rPr>
        <b val="true"/>
        <sz val="11.5"/>
        <color rgb="FF9C0006"/>
        <rFont val="FreeSans"/>
        <family val="2"/>
      </rPr>
      <t xml:space="preserve">و</t>
    </r>
    <r>
      <rPr>
        <b val="true"/>
        <sz val="11.5"/>
        <color rgb="FF9C0006"/>
        <rFont val="Tajawal"/>
        <family val="0"/>
        <charset val="1"/>
      </rPr>
      <t xml:space="preserve">80 </t>
    </r>
    <r>
      <rPr>
        <b val="true"/>
        <sz val="11.5"/>
        <color rgb="FF9C0006"/>
        <rFont val="FreeSans"/>
        <family val="2"/>
      </rPr>
      <t xml:space="preserve">و</t>
    </r>
    <r>
      <rPr>
        <b val="true"/>
        <sz val="11.5"/>
        <color rgb="FF9C0006"/>
        <rFont val="Tajawal"/>
        <family val="0"/>
        <charset val="1"/>
      </rPr>
      <t xml:space="preserve">82 </t>
    </r>
    <r>
      <rPr>
        <b val="true"/>
        <sz val="11.5"/>
        <color rgb="FF9C0006"/>
        <rFont val="FreeSans"/>
        <family val="2"/>
      </rPr>
      <t xml:space="preserve">و</t>
    </r>
    <r>
      <rPr>
        <b val="true"/>
        <sz val="11.5"/>
        <color rgb="FF9C0006"/>
        <rFont val="Tajawal"/>
        <family val="0"/>
        <charset val="1"/>
      </rPr>
      <t xml:space="preserve">80 </t>
    </r>
    <r>
      <rPr>
        <b val="true"/>
        <sz val="11.5"/>
        <color rgb="FF9C0006"/>
        <rFont val="FreeSans"/>
        <family val="2"/>
      </rPr>
      <t xml:space="preserve">لجمعها الملف فأصبحت </t>
    </r>
    <r>
      <rPr>
        <b val="true"/>
        <sz val="11.5"/>
        <color rgb="FF9C0006"/>
        <rFont val="Tajawal"/>
        <family val="0"/>
        <charset val="1"/>
      </rPr>
      <t xml:space="preserve">320%.</t>
    </r>
  </si>
  <si>
    <r>
      <rPr>
        <b val="true"/>
        <sz val="12"/>
        <color rgb="FF137B79"/>
        <rFont val="FreeSans"/>
        <family val="2"/>
      </rPr>
      <t xml:space="preserve">الخطوة </t>
    </r>
    <r>
      <rPr>
        <b val="true"/>
        <sz val="12"/>
        <color rgb="FF137B79"/>
        <rFont val="Tajawal"/>
        <family val="0"/>
        <charset val="1"/>
      </rPr>
      <t xml:space="preserve">8
</t>
    </r>
    <r>
      <rPr>
        <b val="true"/>
        <sz val="12"/>
        <color rgb="FF137B79"/>
        <rFont val="FreeSans"/>
        <family val="2"/>
      </rPr>
      <t xml:space="preserve">خط الأساس والمستهدف</t>
    </r>
  </si>
  <si>
    <r>
      <rPr>
        <sz val="12"/>
        <color rgb="FF000000"/>
        <rFont val="FreeSans"/>
        <family val="2"/>
      </rPr>
      <t xml:space="preserve">خط الأساس هو المستوى الذي تبدؤون منه قبل فترة الخطة، وهو المرجع للحكم على طموح المستهدف ومقدار التحسن</t>
    </r>
    <r>
      <rPr>
        <sz val="12"/>
        <color rgb="FF000000"/>
        <rFont val="Tajawal"/>
        <family val="0"/>
        <charset val="1"/>
      </rPr>
      <t xml:space="preserve">. </t>
    </r>
    <r>
      <rPr>
        <sz val="12"/>
        <color rgb="FF000000"/>
        <rFont val="FreeSans"/>
        <family val="2"/>
      </rPr>
      <t xml:space="preserve">واكتبوا في خانة المستهدف السنوي ما تريدون تحقيقه هذا العام وحده، دون إضافة خط الأساس إليه؛ والملف يعرض مجموعهما في عمود </t>
    </r>
    <r>
      <rPr>
        <sz val="12"/>
        <color rgb="FF000000"/>
        <rFont val="Tajawal"/>
        <family val="0"/>
        <charset val="1"/>
      </rPr>
      <t xml:space="preserve">«</t>
    </r>
    <r>
      <rPr>
        <sz val="12"/>
        <color rgb="FF000000"/>
        <rFont val="FreeSans"/>
        <family val="2"/>
      </rPr>
      <t xml:space="preserve">الإجمالي </t>
    </r>
    <r>
      <rPr>
        <sz val="12"/>
        <color rgb="FF000000"/>
        <rFont val="Tajawal"/>
        <family val="0"/>
        <charset val="1"/>
      </rPr>
      <t xml:space="preserve">(B+T)» </t>
    </r>
    <r>
      <rPr>
        <sz val="12"/>
        <color rgb="FF000000"/>
        <rFont val="FreeSans"/>
        <family val="2"/>
      </rPr>
      <t xml:space="preserve">حيث يكون للمجموع معنى</t>
    </r>
    <r>
      <rPr>
        <sz val="12"/>
        <color rgb="FF000000"/>
        <rFont val="Tajawal"/>
        <family val="0"/>
        <charset val="1"/>
      </rPr>
      <t xml:space="preserve">. </t>
    </r>
    <r>
      <rPr>
        <sz val="12"/>
        <color rgb="FF000000"/>
        <rFont val="FreeSans"/>
        <family val="2"/>
      </rPr>
      <t xml:space="preserve">أما مؤشرات المستوى </t>
    </r>
    <r>
      <rPr>
        <sz val="12"/>
        <color rgb="FF000000"/>
        <rFont val="Tajawal"/>
        <family val="0"/>
        <charset val="1"/>
      </rPr>
      <t xml:space="preserve">(</t>
    </r>
    <r>
      <rPr>
        <sz val="12"/>
        <color rgb="FF000000"/>
        <rFont val="FreeSans"/>
        <family val="2"/>
      </rPr>
      <t xml:space="preserve">المحسوبة بالمتوسط أو بمقياس ليكرت</t>
    </r>
    <r>
      <rPr>
        <sz val="12"/>
        <color rgb="FF000000"/>
        <rFont val="Tajawal"/>
        <family val="0"/>
        <charset val="1"/>
      </rPr>
      <t xml:space="preserve">) </t>
    </r>
    <r>
      <rPr>
        <sz val="12"/>
        <color rgb="FF000000"/>
        <rFont val="FreeSans"/>
        <family val="2"/>
      </rPr>
      <t xml:space="preserve">فالمستهدف فيها مستوى نهائي لا يُضاف إلى خط الأساس، ولذلك يبقى العمود فارغًا لها</t>
    </r>
    <r>
      <rPr>
        <sz val="12"/>
        <color rgb="FF000000"/>
        <rFont val="Tajawal"/>
        <family val="0"/>
        <charset val="1"/>
      </rPr>
      <t xml:space="preserve">.</t>
    </r>
  </si>
  <si>
    <r>
      <rPr>
        <b val="true"/>
        <sz val="12"/>
        <color rgb="FF137B79"/>
        <rFont val="FreeSans"/>
        <family val="2"/>
      </rPr>
      <t xml:space="preserve">الخطوة </t>
    </r>
    <r>
      <rPr>
        <b val="true"/>
        <sz val="12"/>
        <color rgb="FF137B79"/>
        <rFont val="Tajawal"/>
        <family val="0"/>
        <charset val="1"/>
      </rPr>
      <t xml:space="preserve">9
</t>
    </r>
    <r>
      <rPr>
        <b val="true"/>
        <sz val="12"/>
        <color rgb="FF137B79"/>
        <rFont val="FreeSans"/>
        <family val="2"/>
      </rPr>
      <t xml:space="preserve">توزيع المستهدف على الفترات</t>
    </r>
  </si>
  <si>
    <r>
      <rPr>
        <sz val="12"/>
        <color rgb="FF000000"/>
        <rFont val="FreeSans"/>
        <family val="2"/>
      </rPr>
      <t xml:space="preserve">في الطريقة المستقلة</t>
    </r>
    <r>
      <rPr>
        <sz val="12"/>
        <color rgb="FF000000"/>
        <rFont val="Tajawal"/>
        <family val="0"/>
        <charset val="1"/>
      </rPr>
      <t xml:space="preserve">: </t>
    </r>
    <r>
      <rPr>
        <sz val="12"/>
        <color rgb="FF000000"/>
        <rFont val="FreeSans"/>
        <family val="2"/>
      </rPr>
      <t xml:space="preserve">وزّعوا المستهدف أجزاءً مجموعها المستهدف السنوي</t>
    </r>
    <r>
      <rPr>
        <sz val="12"/>
        <color rgb="FF000000"/>
        <rFont val="Tajawal"/>
        <family val="0"/>
        <charset val="1"/>
      </rPr>
      <t xml:space="preserve">. </t>
    </r>
    <r>
      <rPr>
        <sz val="12"/>
        <color rgb="FF000000"/>
        <rFont val="FreeSans"/>
        <family val="2"/>
      </rPr>
      <t xml:space="preserve">في التراكمية</t>
    </r>
    <r>
      <rPr>
        <sz val="12"/>
        <color rgb="FF000000"/>
        <rFont val="Tajawal"/>
        <family val="0"/>
        <charset val="1"/>
      </rPr>
      <t xml:space="preserve">: </t>
    </r>
    <r>
      <rPr>
        <sz val="12"/>
        <color rgb="FF000000"/>
        <rFont val="FreeSans"/>
        <family val="2"/>
      </rPr>
      <t xml:space="preserve">اكتبوا الرصيد المخطط حتى نهاية كل فترة، وآخره يساوي المستهدف</t>
    </r>
    <r>
      <rPr>
        <sz val="12"/>
        <color rgb="FF000000"/>
        <rFont val="Tajawal"/>
        <family val="0"/>
        <charset val="1"/>
      </rPr>
      <t xml:space="preserve">. </t>
    </r>
    <r>
      <rPr>
        <sz val="12"/>
        <color rgb="FF000000"/>
        <rFont val="FreeSans"/>
        <family val="2"/>
      </rPr>
      <t xml:space="preserve">في المتوسط</t>
    </r>
    <r>
      <rPr>
        <sz val="12"/>
        <color rgb="FF000000"/>
        <rFont val="Tajawal"/>
        <family val="0"/>
        <charset val="1"/>
      </rPr>
      <t xml:space="preserve">: </t>
    </r>
    <r>
      <rPr>
        <sz val="12"/>
        <color rgb="FF000000"/>
        <rFont val="FreeSans"/>
        <family val="2"/>
      </rPr>
      <t xml:space="preserve">اكتبوا المستوى المستهدف نفسه في كل فترة</t>
    </r>
    <r>
      <rPr>
        <sz val="12"/>
        <color rgb="FF000000"/>
        <rFont val="Tajawal"/>
        <family val="0"/>
        <charset val="1"/>
      </rPr>
      <t xml:space="preserve">. </t>
    </r>
    <r>
      <rPr>
        <sz val="12"/>
        <color rgb="FF000000"/>
        <rFont val="FreeSans"/>
        <family val="2"/>
      </rPr>
      <t xml:space="preserve">في السنوية</t>
    </r>
    <r>
      <rPr>
        <sz val="12"/>
        <color rgb="FF000000"/>
        <rFont val="Tajawal"/>
        <family val="0"/>
        <charset val="1"/>
      </rPr>
      <t xml:space="preserve">: </t>
    </r>
    <r>
      <rPr>
        <sz val="12"/>
        <color rgb="FF000000"/>
        <rFont val="FreeSans"/>
        <family val="2"/>
      </rPr>
      <t xml:space="preserve">الربع الرابع فقط</t>
    </r>
    <r>
      <rPr>
        <sz val="12"/>
        <color rgb="FF000000"/>
        <rFont val="Tajawal"/>
        <family val="0"/>
        <charset val="1"/>
      </rPr>
      <t xml:space="preserve">. </t>
    </r>
    <r>
      <rPr>
        <sz val="12"/>
        <color rgb="FF000000"/>
        <rFont val="FreeSans"/>
        <family val="2"/>
      </rPr>
      <t xml:space="preserve">ونسبة الإنجاز تُحسب مقابل المستهدف السنوي، أما المخطط لكل فترة فمرجع للمتابعة الدورية</t>
    </r>
    <r>
      <rPr>
        <sz val="12"/>
        <color rgb="FF000000"/>
        <rFont val="Tajawal"/>
        <family val="0"/>
        <charset val="1"/>
      </rPr>
      <t xml:space="preserve">.</t>
    </r>
  </si>
  <si>
    <r>
      <rPr>
        <b val="true"/>
        <sz val="12"/>
        <color rgb="FF137B79"/>
        <rFont val="FreeSans"/>
        <family val="2"/>
      </rPr>
      <t xml:space="preserve">الخطوة </t>
    </r>
    <r>
      <rPr>
        <b val="true"/>
        <sz val="12"/>
        <color rgb="FF137B79"/>
        <rFont val="Tajawal"/>
        <family val="0"/>
        <charset val="1"/>
      </rPr>
      <t xml:space="preserve">10
</t>
    </r>
    <r>
      <rPr>
        <b val="true"/>
        <sz val="12"/>
        <color rgb="FF137B79"/>
        <rFont val="FreeSans"/>
        <family val="2"/>
      </rPr>
      <t xml:space="preserve">الأوزان</t>
    </r>
  </si>
  <si>
    <r>
      <rPr>
        <sz val="12"/>
        <color rgb="FF000000"/>
        <rFont val="FreeSans"/>
        <family val="2"/>
      </rPr>
      <t xml:space="preserve">لكل منظور </t>
    </r>
    <r>
      <rPr>
        <sz val="12"/>
        <color rgb="FF000000"/>
        <rFont val="Tajawal"/>
        <family val="0"/>
        <charset val="1"/>
      </rPr>
      <t xml:space="preserve">25% </t>
    </r>
    <r>
      <rPr>
        <sz val="12"/>
        <color rgb="FF000000"/>
        <rFont val="FreeSans"/>
        <family val="2"/>
      </rPr>
      <t xml:space="preserve">بالضبط، والمجموع </t>
    </r>
    <r>
      <rPr>
        <sz val="12"/>
        <color rgb="FF000000"/>
        <rFont val="Tajawal"/>
        <family val="0"/>
        <charset val="1"/>
      </rPr>
      <t xml:space="preserve">100%. </t>
    </r>
    <r>
      <rPr>
        <sz val="12"/>
        <color rgb="FF000000"/>
        <rFont val="FreeSans"/>
        <family val="2"/>
      </rPr>
      <t xml:space="preserve">وزّعوا وزن المنظور على مؤشراته بحسب أهمية الهدف التابع له وتأثيره الاستراتيجي، وتجنبوا تفتيت الوزن على مؤشرات كثيرة بأوزان رمزية لا أثر لها</t>
    </r>
    <r>
      <rPr>
        <sz val="12"/>
        <color rgb="FF000000"/>
        <rFont val="Tajawal"/>
        <family val="0"/>
        <charset val="1"/>
      </rPr>
      <t xml:space="preserve">.</t>
    </r>
  </si>
  <si>
    <r>
      <rPr>
        <b val="true"/>
        <sz val="12"/>
        <color rgb="FF137B79"/>
        <rFont val="FreeSans"/>
        <family val="2"/>
      </rPr>
      <t xml:space="preserve">الخطوة </t>
    </r>
    <r>
      <rPr>
        <b val="true"/>
        <sz val="12"/>
        <color rgb="FF137B79"/>
        <rFont val="Tajawal"/>
        <family val="0"/>
        <charset val="1"/>
      </rPr>
      <t xml:space="preserve">11
</t>
    </r>
    <r>
      <rPr>
        <b val="true"/>
        <sz val="12"/>
        <color rgb="FF137B79"/>
        <rFont val="FreeSans"/>
        <family val="2"/>
      </rPr>
      <t xml:space="preserve">الرصد والتوثيق</t>
    </r>
  </si>
  <si>
    <r>
      <rPr>
        <sz val="12"/>
        <color rgb="FF000000"/>
        <rFont val="FreeSans"/>
        <family val="2"/>
      </rPr>
      <t xml:space="preserve">سجّلوا المنجز الفعلي لكل فترة بعد إغلاقها، واحتفظوا بمصدر كل رقم ودليله جاهزًا للاطلاع عند زيارات المكتب</t>
    </r>
    <r>
      <rPr>
        <sz val="12"/>
        <color rgb="FF000000"/>
        <rFont val="Tajawal"/>
        <family val="0"/>
        <charset val="1"/>
      </rPr>
      <t xml:space="preserve">. </t>
    </r>
    <r>
      <rPr>
        <sz val="12"/>
        <color rgb="FF000000"/>
        <rFont val="FreeSans"/>
        <family val="2"/>
      </rPr>
      <t xml:space="preserve">ولا تُعدَّل أرقام فترة سابقة بعد إرسالها إلا بإيضاح مكتوب للمكتب</t>
    </r>
    <r>
      <rPr>
        <sz val="12"/>
        <color rgb="FF000000"/>
        <rFont val="Tajawal"/>
        <family val="0"/>
        <charset val="1"/>
      </rPr>
      <t xml:space="preserve">.</t>
    </r>
  </si>
  <si>
    <r>
      <rPr>
        <sz val="14"/>
        <color rgb="FFFFFFFF"/>
        <rFont val="FreeSans"/>
        <family val="2"/>
      </rPr>
      <t xml:space="preserve">خامسًا</t>
    </r>
    <r>
      <rPr>
        <sz val="14"/>
        <color rgb="FFFFFFFF"/>
        <rFont val="29LT Azer Medium"/>
        <family val="0"/>
        <charset val="1"/>
      </rPr>
      <t xml:space="preserve">: </t>
    </r>
    <r>
      <rPr>
        <sz val="14"/>
        <color rgb="FFFFFFFF"/>
        <rFont val="FreeSans"/>
        <family val="2"/>
      </rPr>
      <t xml:space="preserve">كيف تُقرأ نتائج المؤشرات؟</t>
    </r>
  </si>
  <si>
    <t xml:space="preserve">المنجز السنوي</t>
  </si>
  <si>
    <r>
      <rPr>
        <sz val="12"/>
        <color rgb="FF000000"/>
        <rFont val="FreeSans"/>
        <family val="2"/>
      </rPr>
      <t xml:space="preserve">يُحسب تلقائيًا بحسب طريقة الاحتساب المختارة لكل مؤشر</t>
    </r>
    <r>
      <rPr>
        <sz val="12"/>
        <color rgb="FF000000"/>
        <rFont val="Tajawal"/>
        <family val="0"/>
        <charset val="1"/>
      </rPr>
      <t xml:space="preserve">.</t>
    </r>
  </si>
  <si>
    <t xml:space="preserve">نسبة الإنجاز</t>
  </si>
  <si>
    <r>
      <rPr>
        <sz val="12"/>
        <color rgb="FF000000"/>
        <rFont val="FreeSans"/>
        <family val="2"/>
      </rPr>
      <t xml:space="preserve">في المؤشر التصاعدي</t>
    </r>
    <r>
      <rPr>
        <sz val="12"/>
        <color rgb="FF000000"/>
        <rFont val="Tajawal"/>
        <family val="0"/>
        <charset val="1"/>
      </rPr>
      <t xml:space="preserve">: </t>
    </r>
    <r>
      <rPr>
        <sz val="12"/>
        <color rgb="FF000000"/>
        <rFont val="FreeSans"/>
        <family val="2"/>
      </rPr>
      <t xml:space="preserve">المنجز </t>
    </r>
    <r>
      <rPr>
        <sz val="12"/>
        <color rgb="FF000000"/>
        <rFont val="Tajawal"/>
        <family val="0"/>
        <charset val="1"/>
      </rPr>
      <t xml:space="preserve">÷ </t>
    </r>
    <r>
      <rPr>
        <sz val="12"/>
        <color rgb="FF000000"/>
        <rFont val="FreeSans"/>
        <family val="2"/>
      </rPr>
      <t xml:space="preserve">المستهدف</t>
    </r>
    <r>
      <rPr>
        <sz val="12"/>
        <color rgb="FF000000"/>
        <rFont val="Tajawal"/>
        <family val="0"/>
        <charset val="1"/>
      </rPr>
      <t xml:space="preserve">. </t>
    </r>
    <r>
      <rPr>
        <sz val="12"/>
        <color rgb="FF000000"/>
        <rFont val="FreeSans"/>
        <family val="2"/>
      </rPr>
      <t xml:space="preserve">وفي التنازلي</t>
    </r>
    <r>
      <rPr>
        <sz val="12"/>
        <color rgb="FF000000"/>
        <rFont val="Tajawal"/>
        <family val="0"/>
        <charset val="1"/>
      </rPr>
      <t xml:space="preserve">: </t>
    </r>
    <r>
      <rPr>
        <sz val="12"/>
        <color rgb="FF000000"/>
        <rFont val="FreeSans"/>
        <family val="2"/>
      </rPr>
      <t xml:space="preserve">المستهدف </t>
    </r>
    <r>
      <rPr>
        <sz val="12"/>
        <color rgb="FF000000"/>
        <rFont val="Tajawal"/>
        <family val="0"/>
        <charset val="1"/>
      </rPr>
      <t xml:space="preserve">÷ </t>
    </r>
    <r>
      <rPr>
        <sz val="12"/>
        <color rgb="FF000000"/>
        <rFont val="FreeSans"/>
        <family val="2"/>
      </rPr>
      <t xml:space="preserve">المنجز</t>
    </r>
    <r>
      <rPr>
        <sz val="12"/>
        <color rgb="FF000000"/>
        <rFont val="Tajawal"/>
        <family val="0"/>
        <charset val="1"/>
      </rPr>
      <t xml:space="preserve">. </t>
    </r>
    <r>
      <rPr>
        <sz val="12"/>
        <color rgb="FF000000"/>
        <rFont val="FreeSans"/>
        <family val="2"/>
      </rPr>
      <t xml:space="preserve">وتظهر بقيمتها الحقيقية حتى لو تجاوزت </t>
    </r>
    <r>
      <rPr>
        <sz val="12"/>
        <color rgb="FF000000"/>
        <rFont val="Tajawal"/>
        <family val="0"/>
        <charset val="1"/>
      </rPr>
      <t xml:space="preserve">100%</t>
    </r>
    <r>
      <rPr>
        <sz val="12"/>
        <color rgb="FF000000"/>
        <rFont val="FreeSans"/>
        <family val="2"/>
      </rPr>
      <t xml:space="preserve">، ليظهر التفوق كما هو</t>
    </r>
    <r>
      <rPr>
        <sz val="12"/>
        <color rgb="FF000000"/>
        <rFont val="Tajawal"/>
        <family val="0"/>
        <charset val="1"/>
      </rPr>
      <t xml:space="preserve">.</t>
    </r>
  </si>
  <si>
    <t xml:space="preserve">النسبة المرجحة</t>
  </si>
  <si>
    <r>
      <rPr>
        <sz val="12"/>
        <color rgb="FF000000"/>
        <rFont val="FreeSans"/>
        <family val="2"/>
      </rPr>
      <t xml:space="preserve">نسبة الإنجاز </t>
    </r>
    <r>
      <rPr>
        <sz val="12"/>
        <color rgb="FF000000"/>
        <rFont val="Tajawal"/>
        <family val="0"/>
        <charset val="1"/>
      </rPr>
      <t xml:space="preserve">× </t>
    </r>
    <r>
      <rPr>
        <sz val="12"/>
        <color rgb="FF000000"/>
        <rFont val="FreeSans"/>
        <family val="2"/>
      </rPr>
      <t xml:space="preserve">وزن المؤشر، مع احتساب </t>
    </r>
    <r>
      <rPr>
        <sz val="12"/>
        <color rgb="FF000000"/>
        <rFont val="Tajawal"/>
        <family val="0"/>
        <charset val="1"/>
      </rPr>
      <t xml:space="preserve">100% </t>
    </r>
    <r>
      <rPr>
        <sz val="12"/>
        <color rgb="FF000000"/>
        <rFont val="FreeSans"/>
        <family val="2"/>
      </rPr>
      <t xml:space="preserve">حدًّا أعلى</t>
    </r>
    <r>
      <rPr>
        <sz val="12"/>
        <color rgb="FF000000"/>
        <rFont val="Tajawal"/>
        <family val="0"/>
        <charset val="1"/>
      </rPr>
      <t xml:space="preserve">. </t>
    </r>
    <r>
      <rPr>
        <sz val="12"/>
        <color rgb="FF000000"/>
        <rFont val="FreeSans"/>
        <family val="2"/>
      </rPr>
      <t xml:space="preserve">فالتفوق في مؤشر يُذكر ويُقدَّر، لكنه لا يعوّض الإخفاق في مؤشر آخر؛ وهذا هو معنى التوازن</t>
    </r>
    <r>
      <rPr>
        <sz val="12"/>
        <color rgb="FF000000"/>
        <rFont val="Tajawal"/>
        <family val="0"/>
        <charset val="1"/>
      </rPr>
      <t xml:space="preserve">.</t>
    </r>
  </si>
  <si>
    <t xml:space="preserve">الإجماليات</t>
  </si>
  <si>
    <r>
      <rPr>
        <sz val="12"/>
        <color rgb="FF000000"/>
        <rFont val="FreeSans"/>
        <family val="2"/>
      </rPr>
      <t xml:space="preserve">إجمالي كل منظور من </t>
    </r>
    <r>
      <rPr>
        <sz val="12"/>
        <color rgb="FF000000"/>
        <rFont val="Tajawal"/>
        <family val="0"/>
        <charset val="1"/>
      </rPr>
      <t xml:space="preserve">25</t>
    </r>
    <r>
      <rPr>
        <sz val="12"/>
        <color rgb="FF000000"/>
        <rFont val="FreeSans"/>
        <family val="2"/>
      </rPr>
      <t xml:space="preserve">، ومؤشر الأداء الكلي للمؤسسة من </t>
    </r>
    <r>
      <rPr>
        <sz val="12"/>
        <color rgb="FF000000"/>
        <rFont val="Tajawal"/>
        <family val="0"/>
        <charset val="1"/>
      </rPr>
      <t xml:space="preserve">100.</t>
    </r>
  </si>
  <si>
    <t xml:space="preserve">الخلية الفارغة ليست صفرًا</t>
  </si>
  <si>
    <r>
      <rPr>
        <sz val="12"/>
        <color rgb="FF000000"/>
        <rFont val="FreeSans"/>
        <family val="2"/>
      </rPr>
      <t xml:space="preserve">ما لم تُدخَل بيانات تبقى النتيجة فارغة، ولا تُعرض نتيجة المؤشر السنوي قبل إدخال قيمة الربع الرابع</t>
    </r>
    <r>
      <rPr>
        <sz val="12"/>
        <color rgb="FF000000"/>
        <rFont val="Tajawal"/>
        <family val="0"/>
        <charset val="1"/>
      </rPr>
      <t xml:space="preserve">. </t>
    </r>
    <r>
      <rPr>
        <sz val="12"/>
        <color rgb="FF000000"/>
        <rFont val="FreeSans"/>
        <family val="2"/>
      </rPr>
      <t xml:space="preserve">فالفراغ يعني </t>
    </r>
    <r>
      <rPr>
        <sz val="12"/>
        <color rgb="FF000000"/>
        <rFont val="Tajawal"/>
        <family val="0"/>
        <charset val="1"/>
      </rPr>
      <t xml:space="preserve">«</t>
    </r>
    <r>
      <rPr>
        <sz val="12"/>
        <color rgb="FF000000"/>
        <rFont val="FreeSans"/>
        <family val="2"/>
      </rPr>
      <t xml:space="preserve">لم يُقَس بعد</t>
    </r>
    <r>
      <rPr>
        <sz val="12"/>
        <color rgb="FF000000"/>
        <rFont val="Tajawal"/>
        <family val="0"/>
        <charset val="1"/>
      </rPr>
      <t xml:space="preserve">»</t>
    </r>
    <r>
      <rPr>
        <sz val="12"/>
        <color rgb="FF000000"/>
        <rFont val="FreeSans"/>
        <family val="2"/>
      </rPr>
      <t xml:space="preserve">، لا </t>
    </r>
    <r>
      <rPr>
        <sz val="12"/>
        <color rgb="FF000000"/>
        <rFont val="Tajawal"/>
        <family val="0"/>
        <charset val="1"/>
      </rPr>
      <t xml:space="preserve">«</t>
    </r>
    <r>
      <rPr>
        <sz val="12"/>
        <color rgb="FF000000"/>
        <rFont val="FreeSans"/>
        <family val="2"/>
      </rPr>
      <t xml:space="preserve">لم يتحقق</t>
    </r>
    <r>
      <rPr>
        <sz val="12"/>
        <color rgb="FF000000"/>
        <rFont val="Tajawal"/>
        <family val="0"/>
        <charset val="1"/>
      </rPr>
      <t xml:space="preserve">».</t>
    </r>
  </si>
  <si>
    <r>
      <rPr>
        <sz val="14"/>
        <color rgb="FFFFFFFF"/>
        <rFont val="FreeSans"/>
        <family val="2"/>
      </rPr>
      <t xml:space="preserve">سادسًا</t>
    </r>
    <r>
      <rPr>
        <sz val="14"/>
        <color rgb="FFFFFFFF"/>
        <rFont val="29LT Azer Medium"/>
        <family val="0"/>
        <charset val="1"/>
      </rPr>
      <t xml:space="preserve">: </t>
    </r>
    <r>
      <rPr>
        <sz val="14"/>
        <color rgb="FFFFFFFF"/>
        <rFont val="FreeSans"/>
        <family val="2"/>
      </rPr>
      <t xml:space="preserve">الأنشطة وتقرير الأداء</t>
    </r>
  </si>
  <si>
    <t xml:space="preserve">تسجيل الأنشطة</t>
  </si>
  <si>
    <r>
      <rPr>
        <sz val="12"/>
        <color rgb="FF000000"/>
        <rFont val="FreeSans"/>
        <family val="2"/>
      </rPr>
      <t xml:space="preserve">يُسجَّل كل نشاط في سطر مع الربع الذي نُفِّذ فيه ونوعه </t>
    </r>
    <r>
      <rPr>
        <sz val="12"/>
        <color rgb="FF000000"/>
        <rFont val="Tajawal"/>
        <family val="0"/>
        <charset val="1"/>
      </rPr>
      <t xml:space="preserve">(</t>
    </r>
    <r>
      <rPr>
        <sz val="12"/>
        <color rgb="FF000000"/>
        <rFont val="FreeSans"/>
        <family val="2"/>
      </rPr>
      <t xml:space="preserve">برنامج أو مشروع أو نشاط، أو فعالية مجتمعية، أو تدريب وبناء قدرات</t>
    </r>
    <r>
      <rPr>
        <sz val="12"/>
        <color rgb="FF000000"/>
        <rFont val="Tajawal"/>
        <family val="0"/>
        <charset val="1"/>
      </rPr>
      <t xml:space="preserve">)</t>
    </r>
    <r>
      <rPr>
        <sz val="12"/>
        <color rgb="FF000000"/>
        <rFont val="FreeSans"/>
        <family val="2"/>
      </rPr>
      <t xml:space="preserve">، بعدد مستفيديه أو مشاركيه ومخططه ومنجزه</t>
    </r>
    <r>
      <rPr>
        <sz val="12"/>
        <color rgb="FF000000"/>
        <rFont val="Tajawal"/>
        <family val="0"/>
        <charset val="1"/>
      </rPr>
      <t xml:space="preserve">. </t>
    </r>
    <r>
      <rPr>
        <sz val="12"/>
        <color rgb="FF000000"/>
        <rFont val="FreeSans"/>
        <family val="2"/>
      </rPr>
      <t xml:space="preserve">والنشاط الممتد على أكثر من ربع يُسجَّل في سطر لكل ربع بما خُطِّط وأُنجز فيه</t>
    </r>
    <r>
      <rPr>
        <sz val="12"/>
        <color rgb="FF000000"/>
        <rFont val="Tajawal"/>
        <family val="0"/>
        <charset val="1"/>
      </rPr>
      <t xml:space="preserve">. </t>
    </r>
    <r>
      <rPr>
        <sz val="12"/>
        <color rgb="FF000000"/>
        <rFont val="FreeSans"/>
        <family val="2"/>
      </rPr>
      <t xml:space="preserve">ويُكتب كود المؤشر الذي يخدمه النشاط، ليظهر الرابط بين ما نفعله وما نقيسه</t>
    </r>
    <r>
      <rPr>
        <sz val="12"/>
        <color rgb="FF000000"/>
        <rFont val="Tajawal"/>
        <family val="0"/>
        <charset val="1"/>
      </rPr>
      <t xml:space="preserve">.</t>
    </r>
  </si>
  <si>
    <t xml:space="preserve">إجماليات الأنشطة</t>
  </si>
  <si>
    <r>
      <rPr>
        <sz val="12"/>
        <color rgb="FF000000"/>
        <rFont val="FreeSans"/>
        <family val="2"/>
      </rPr>
      <t xml:space="preserve">تحت السجل جدول إجماليات لكل نوع وللمجموع</t>
    </r>
    <r>
      <rPr>
        <sz val="12"/>
        <color rgb="FF000000"/>
        <rFont val="Tajawal"/>
        <family val="0"/>
        <charset val="1"/>
      </rPr>
      <t xml:space="preserve">: </t>
    </r>
    <r>
      <rPr>
        <sz val="12"/>
        <color rgb="FF000000"/>
        <rFont val="FreeSans"/>
        <family val="2"/>
      </rPr>
      <t xml:space="preserve">للفترة المختارة وحدها، وللسنة كاملة</t>
    </r>
    <r>
      <rPr>
        <sz val="12"/>
        <color rgb="FF000000"/>
        <rFont val="Tajawal"/>
        <family val="0"/>
        <charset val="1"/>
      </rPr>
      <t xml:space="preserve">. </t>
    </r>
    <r>
      <rPr>
        <sz val="12"/>
        <color rgb="FF000000"/>
        <rFont val="FreeSans"/>
        <family val="2"/>
      </rPr>
      <t xml:space="preserve">وتُظلَّل أسطر الربع المختار في السجل ليظهر ما يدخل في إجماليه</t>
    </r>
    <r>
      <rPr>
        <sz val="12"/>
        <color rgb="FF000000"/>
        <rFont val="Tajawal"/>
        <family val="0"/>
        <charset val="1"/>
      </rPr>
      <t xml:space="preserve">.</t>
    </r>
  </si>
  <si>
    <t xml:space="preserve">نتيجة المؤشرات في الملخص</t>
  </si>
  <si>
    <r>
      <rPr>
        <sz val="12"/>
        <color rgb="FF000000"/>
        <rFont val="FreeSans"/>
        <family val="2"/>
      </rPr>
      <t xml:space="preserve">تُقرأ تلقائيًا من صفوف الإجمالي في ورقة </t>
    </r>
    <r>
      <rPr>
        <sz val="12"/>
        <color rgb="FF000000"/>
        <rFont val="Tajawal"/>
        <family val="0"/>
        <charset val="1"/>
      </rPr>
      <t xml:space="preserve">KPI Tracking: </t>
    </r>
    <r>
      <rPr>
        <sz val="12"/>
        <color rgb="FF000000"/>
        <rFont val="FreeSans"/>
        <family val="2"/>
      </rPr>
      <t xml:space="preserve">وزن كل منظور ودرجته المرجحة والمحققة وتقييمه، ثم الدرجة الإجمالية</t>
    </r>
    <r>
      <rPr>
        <sz val="12"/>
        <color rgb="FF000000"/>
        <rFont val="Tajawal"/>
        <family val="0"/>
        <charset val="1"/>
      </rPr>
      <t xml:space="preserve">. </t>
    </r>
    <r>
      <rPr>
        <sz val="12"/>
        <color rgb="FF000000"/>
        <rFont val="FreeSans"/>
        <family val="2"/>
      </rPr>
      <t xml:space="preserve">ويُحسب التقييم بسلّم موحد</t>
    </r>
    <r>
      <rPr>
        <sz val="12"/>
        <color rgb="FF000000"/>
        <rFont val="Tajawal"/>
        <family val="0"/>
        <charset val="1"/>
      </rPr>
      <t xml:space="preserve">: </t>
    </r>
    <r>
      <rPr>
        <sz val="12"/>
        <color rgb="FF000000"/>
        <rFont val="FreeSans"/>
        <family val="2"/>
      </rPr>
      <t xml:space="preserve">ضعيف دون </t>
    </r>
    <r>
      <rPr>
        <sz val="12"/>
        <color rgb="FF000000"/>
        <rFont val="Tajawal"/>
        <family val="0"/>
        <charset val="1"/>
      </rPr>
      <t xml:space="preserve">60%</t>
    </r>
    <r>
      <rPr>
        <sz val="12"/>
        <color rgb="FF000000"/>
        <rFont val="FreeSans"/>
        <family val="2"/>
      </rPr>
      <t xml:space="preserve">، ومتوسط من </t>
    </r>
    <r>
      <rPr>
        <sz val="12"/>
        <color rgb="FF000000"/>
        <rFont val="Tajawal"/>
        <family val="0"/>
        <charset val="1"/>
      </rPr>
      <t xml:space="preserve">60%</t>
    </r>
    <r>
      <rPr>
        <sz val="12"/>
        <color rgb="FF000000"/>
        <rFont val="FreeSans"/>
        <family val="2"/>
      </rPr>
      <t xml:space="preserve">، وجيد من </t>
    </r>
    <r>
      <rPr>
        <sz val="12"/>
        <color rgb="FF000000"/>
        <rFont val="Tajawal"/>
        <family val="0"/>
        <charset val="1"/>
      </rPr>
      <t xml:space="preserve">75%</t>
    </r>
    <r>
      <rPr>
        <sz val="12"/>
        <color rgb="FF000000"/>
        <rFont val="FreeSans"/>
        <family val="2"/>
      </rPr>
      <t xml:space="preserve">، وممتاز من </t>
    </r>
    <r>
      <rPr>
        <sz val="12"/>
        <color rgb="FF000000"/>
        <rFont val="Tajawal"/>
        <family val="0"/>
        <charset val="1"/>
      </rPr>
      <t xml:space="preserve">90%.</t>
    </r>
  </si>
  <si>
    <t xml:space="preserve">ملخص الخطة التشغيلية</t>
  </si>
  <si>
    <r>
      <rPr>
        <sz val="12"/>
        <color rgb="FF000000"/>
        <rFont val="FreeSans"/>
        <family val="2"/>
      </rPr>
      <t xml:space="preserve">يُقرأ تلقائيًا من سجل الأنشطة بحسب نوع كل نشاط، من بداية العام حتى الفترة المختارة</t>
    </r>
    <r>
      <rPr>
        <sz val="12"/>
        <color rgb="FF000000"/>
        <rFont val="Tajawal"/>
        <family val="0"/>
        <charset val="1"/>
      </rPr>
      <t xml:space="preserve">: </t>
    </r>
    <r>
      <rPr>
        <sz val="12"/>
        <color rgb="FF000000"/>
        <rFont val="FreeSans"/>
        <family val="2"/>
      </rPr>
      <t xml:space="preserve">البرامج والأنشطة المنفذة، والمستفيدون الفعليون، والفعاليات والأنشطة المجتمعية، وبرامج بناء القدرات</t>
    </r>
    <r>
      <rPr>
        <sz val="12"/>
        <color rgb="FF000000"/>
        <rFont val="Tajawal"/>
        <family val="0"/>
        <charset val="1"/>
      </rPr>
      <t xml:space="preserve">. </t>
    </r>
    <r>
      <rPr>
        <sz val="12"/>
        <color rgb="FF000000"/>
        <rFont val="FreeSans"/>
        <family val="2"/>
      </rPr>
      <t xml:space="preserve">أما عدد المستفيدين المخطط فيُكتب يدويًا</t>
    </r>
    <r>
      <rPr>
        <sz val="12"/>
        <color rgb="FF000000"/>
        <rFont val="Tajawal"/>
        <family val="0"/>
        <charset val="1"/>
      </rPr>
      <t xml:space="preserve">.</t>
    </r>
  </si>
  <si>
    <t xml:space="preserve">الأقسام السردية</t>
  </si>
  <si>
    <r>
      <rPr>
        <sz val="12"/>
        <color rgb="FF000000"/>
        <rFont val="FreeSans"/>
        <family val="2"/>
      </rPr>
      <t xml:space="preserve">اكتبوا الإنجاز مع أثره وكود المؤشر الذي يدعمه، والتحدي مع أسبابه والإجراء المتخذ لمعالجته، والمقترح المرفوع لمجلس الأمناء مع مبرره وأولويته وتكلفته التقديرية</t>
    </r>
    <r>
      <rPr>
        <sz val="12"/>
        <color rgb="FF000000"/>
        <rFont val="Tajawal"/>
        <family val="0"/>
        <charset val="1"/>
      </rPr>
      <t xml:space="preserve">. </t>
    </r>
    <r>
      <rPr>
        <sz val="12"/>
        <color rgb="FF000000"/>
        <rFont val="FreeSans"/>
        <family val="2"/>
      </rPr>
      <t xml:space="preserve">فالتقرير الجيد لا يسرد ما حدث فقط، بل يفسّره ويقترح ما بعده</t>
    </r>
    <r>
      <rPr>
        <sz val="12"/>
        <color rgb="FF000000"/>
        <rFont val="Tajawal"/>
        <family val="0"/>
        <charset val="1"/>
      </rPr>
      <t xml:space="preserve">.</t>
    </r>
  </si>
  <si>
    <t xml:space="preserve">الإحصاءات السنوية</t>
  </si>
  <si>
    <r>
      <rPr>
        <sz val="12"/>
        <color rgb="FF000000"/>
        <rFont val="FreeSans"/>
        <family val="2"/>
      </rPr>
      <t xml:space="preserve">مقارنة بين السنة السابقة والسنة الحالية، تُعبَّأ في تقرير الربع الرابع فقط</t>
    </r>
    <r>
      <rPr>
        <sz val="12"/>
        <color rgb="FF000000"/>
        <rFont val="Tajawal"/>
        <family val="0"/>
        <charset val="1"/>
      </rPr>
      <t xml:space="preserve">.</t>
    </r>
  </si>
  <si>
    <r>
      <rPr>
        <sz val="14"/>
        <color rgb="FFFFFFFF"/>
        <rFont val="FreeSans"/>
        <family val="2"/>
      </rPr>
      <t xml:space="preserve">سابعًا</t>
    </r>
    <r>
      <rPr>
        <sz val="14"/>
        <color rgb="FFFFFFFF"/>
        <rFont val="29LT Azer Medium"/>
        <family val="0"/>
        <charset val="1"/>
      </rPr>
      <t xml:space="preserve">: </t>
    </r>
    <r>
      <rPr>
        <sz val="14"/>
        <color rgb="FFFFFFFF"/>
        <rFont val="FreeSans"/>
        <family val="2"/>
      </rPr>
      <t xml:space="preserve">إرشادات الاستخدام</t>
    </r>
  </si>
  <si>
    <t xml:space="preserve">عام</t>
  </si>
  <si>
    <t xml:space="preserve">1</t>
  </si>
  <si>
    <r>
      <rPr>
        <sz val="12"/>
        <color rgb="FF000000"/>
        <rFont val="FreeSans"/>
        <family val="2"/>
      </rPr>
      <t xml:space="preserve">لا تبدؤوا تعبئة الملف قبل اعتماد المكتب للأهداف والمؤشرات، ولا الرصد قبل اعتماد المصفوفة كاملة </t>
    </r>
    <r>
      <rPr>
        <sz val="12"/>
        <color rgb="FF000000"/>
        <rFont val="Tajawal"/>
        <family val="0"/>
        <charset val="1"/>
      </rPr>
      <t xml:space="preserve">(</t>
    </r>
    <r>
      <rPr>
        <sz val="12"/>
        <color rgb="FF000000"/>
        <rFont val="FreeSans"/>
        <family val="2"/>
      </rPr>
      <t xml:space="preserve">انظر الخطوة </t>
    </r>
    <r>
      <rPr>
        <sz val="12"/>
        <color rgb="FF000000"/>
        <rFont val="Tajawal"/>
        <family val="0"/>
        <charset val="1"/>
      </rPr>
      <t xml:space="preserve">3).</t>
    </r>
  </si>
  <si>
    <t xml:space="preserve">2</t>
  </si>
  <si>
    <r>
      <rPr>
        <sz val="12"/>
        <color rgb="FF000000"/>
        <rFont val="FreeSans"/>
        <family val="2"/>
      </rPr>
      <t xml:space="preserve">اختاروا اسم المؤسسة والفترة من القائمتين في رأس ورقة </t>
    </r>
    <r>
      <rPr>
        <sz val="12"/>
        <color rgb="FF000000"/>
        <rFont val="Tajawal"/>
        <family val="0"/>
        <charset val="1"/>
      </rPr>
      <t xml:space="preserve">KPI Tracking</t>
    </r>
    <r>
      <rPr>
        <sz val="12"/>
        <color rgb="FF000000"/>
        <rFont val="FreeSans"/>
        <family val="2"/>
      </rPr>
      <t xml:space="preserve">؛ فهما يتحكمان في الملف كله، ويظهران تلقائيًا في ورقتي الأنشطة والملخص، ويظهر اختصار المؤسسة في أكواد المؤشرات</t>
    </r>
    <r>
      <rPr>
        <sz val="12"/>
        <color rgb="FF000000"/>
        <rFont val="Tajawal"/>
        <family val="0"/>
        <charset val="1"/>
      </rPr>
      <t xml:space="preserve">.</t>
    </r>
  </si>
  <si>
    <t xml:space="preserve">3</t>
  </si>
  <si>
    <r>
      <rPr>
        <sz val="12"/>
        <color rgb="FF000000"/>
        <rFont val="FreeSans"/>
        <family val="2"/>
      </rPr>
      <t xml:space="preserve">الخلايا الملونة بالفيروزي تُحسب تلقائيًا؛ فلا تكتبوا فيها ولا تعدّلوها</t>
    </r>
    <r>
      <rPr>
        <sz val="12"/>
        <color rgb="FF000000"/>
        <rFont val="Tajawal"/>
        <family val="0"/>
        <charset val="1"/>
      </rPr>
      <t xml:space="preserve">.</t>
    </r>
  </si>
  <si>
    <t xml:space="preserve">4</t>
  </si>
  <si>
    <r>
      <rPr>
        <sz val="12"/>
        <color rgb="FF000000"/>
        <rFont val="FreeSans"/>
        <family val="2"/>
      </rPr>
      <t xml:space="preserve">لا تعدّلوا ورقة </t>
    </r>
    <r>
      <rPr>
        <sz val="12"/>
        <color rgb="FF000000"/>
        <rFont val="Tajawal"/>
        <family val="0"/>
        <charset val="1"/>
      </rPr>
      <t xml:space="preserve">Data </t>
    </r>
    <r>
      <rPr>
        <sz val="12"/>
        <color rgb="FF000000"/>
        <rFont val="FreeSans"/>
        <family val="2"/>
      </rPr>
      <t xml:space="preserve">ولا نصوص الخيارات في القوائم، فالمعادلات تعتمد عليها</t>
    </r>
    <r>
      <rPr>
        <sz val="12"/>
        <color rgb="FF000000"/>
        <rFont val="Tajawal"/>
        <family val="0"/>
        <charset val="1"/>
      </rPr>
      <t xml:space="preserve">.</t>
    </r>
  </si>
  <si>
    <t xml:space="preserve">5</t>
  </si>
  <si>
    <r>
      <rPr>
        <sz val="12"/>
        <color rgb="FF000000"/>
        <rFont val="FreeSans"/>
        <family val="2"/>
      </rPr>
      <t xml:space="preserve">يمكن استخدام الملف من اليسار إلى اليمين والكتابة فيه بالإنجليزية، فجميع العناوين والخيارات ثنائية اللغة</t>
    </r>
    <r>
      <rPr>
        <sz val="12"/>
        <color rgb="FF000000"/>
        <rFont val="Tajawal"/>
        <family val="0"/>
        <charset val="1"/>
      </rPr>
      <t xml:space="preserve">. </t>
    </r>
    <r>
      <rPr>
        <sz val="12"/>
        <color rgb="FF000000"/>
        <rFont val="FreeSans"/>
        <family val="2"/>
      </rPr>
      <t xml:space="preserve">ولتغيير اتجاه الورقة استخدموا زر </t>
    </r>
    <r>
      <rPr>
        <sz val="12"/>
        <color rgb="FF000000"/>
        <rFont val="Tajawal"/>
        <family val="0"/>
        <charset val="1"/>
      </rPr>
      <t xml:space="preserve">«</t>
    </r>
    <r>
      <rPr>
        <sz val="12"/>
        <color rgb="FF000000"/>
        <rFont val="FreeSans"/>
        <family val="2"/>
      </rPr>
      <t xml:space="preserve">ورقة من اليمين إلى اليسار</t>
    </r>
    <r>
      <rPr>
        <sz val="12"/>
        <color rgb="FF000000"/>
        <rFont val="Tajawal"/>
        <family val="0"/>
        <charset val="1"/>
      </rPr>
      <t xml:space="preserve">» </t>
    </r>
    <r>
      <rPr>
        <sz val="12"/>
        <color rgb="FF000000"/>
        <rFont val="FreeSans"/>
        <family val="2"/>
      </rPr>
      <t xml:space="preserve">في تبويب </t>
    </r>
    <r>
      <rPr>
        <sz val="12"/>
        <color rgb="FF000000"/>
        <rFont val="Tajawal"/>
        <family val="0"/>
        <charset val="1"/>
      </rPr>
      <t xml:space="preserve">«</t>
    </r>
    <r>
      <rPr>
        <sz val="12"/>
        <color rgb="FF000000"/>
        <rFont val="FreeSans"/>
        <family val="2"/>
      </rPr>
      <t xml:space="preserve">تخطيط الصفحة</t>
    </r>
    <r>
      <rPr>
        <sz val="12"/>
        <color rgb="FF000000"/>
        <rFont val="Tajawal"/>
        <family val="0"/>
        <charset val="1"/>
      </rPr>
      <t xml:space="preserve">». </t>
    </r>
    <r>
      <rPr>
        <sz val="12"/>
        <color rgb="FF000000"/>
        <rFont val="FreeSans"/>
        <family val="2"/>
      </rPr>
      <t xml:space="preserve">وفي الحالتين اختاروا القيم من القوائم ولا تكتبوها يدويًا، لأن الحسابات تعتمد على نص الخيار كما هو</t>
    </r>
    <r>
      <rPr>
        <sz val="12"/>
        <color rgb="FF000000"/>
        <rFont val="Tajawal"/>
        <family val="0"/>
        <charset val="1"/>
      </rPr>
      <t xml:space="preserve">.</t>
    </r>
  </si>
  <si>
    <r>
      <rPr>
        <b val="true"/>
        <sz val="13"/>
        <color rgb="FF137B79"/>
        <rFont val="FreeSans"/>
        <family val="2"/>
      </rPr>
      <t xml:space="preserve">ورقة </t>
    </r>
    <r>
      <rPr>
        <b val="true"/>
        <sz val="13"/>
        <color rgb="FF137B79"/>
        <rFont val="Tajawal"/>
        <family val="0"/>
        <charset val="1"/>
      </rPr>
      <t xml:space="preserve">KPI Tracking</t>
    </r>
  </si>
  <si>
    <t xml:space="preserve">6</t>
  </si>
  <si>
    <r>
      <rPr>
        <sz val="12"/>
        <color rgb="FF000000"/>
        <rFont val="FreeSans"/>
        <family val="2"/>
      </rPr>
      <t xml:space="preserve">اكتبوا الهدف في أول صف من مجموعته فقط، واتركوا خانة الهدف للصفوف التي تليها فارغة بحسب عدد المؤشرات التابعة له</t>
    </r>
    <r>
      <rPr>
        <sz val="12"/>
        <color rgb="FF000000"/>
        <rFont val="Tajawal"/>
        <family val="0"/>
        <charset val="1"/>
      </rPr>
      <t xml:space="preserve">.</t>
    </r>
  </si>
  <si>
    <t xml:space="preserve">7</t>
  </si>
  <si>
    <r>
      <rPr>
        <sz val="12"/>
        <color rgb="FF000000"/>
        <rFont val="FreeSans"/>
        <family val="2"/>
      </rPr>
      <t xml:space="preserve">عبّئوا الأعمدة بالترتيب</t>
    </r>
    <r>
      <rPr>
        <sz val="12"/>
        <color rgb="FF000000"/>
        <rFont val="Tajawal"/>
        <family val="0"/>
        <charset val="1"/>
      </rPr>
      <t xml:space="preserve">: </t>
    </r>
    <r>
      <rPr>
        <sz val="12"/>
        <color rgb="FF000000"/>
        <rFont val="FreeSans"/>
        <family val="2"/>
      </rPr>
      <t xml:space="preserve">القياس، ثم الوحدة، ثم التردد </t>
    </r>
    <r>
      <rPr>
        <sz val="12"/>
        <color rgb="FF000000"/>
        <rFont val="Tajawal"/>
        <family val="0"/>
        <charset val="1"/>
      </rPr>
      <t xml:space="preserve">(</t>
    </r>
    <r>
      <rPr>
        <sz val="12"/>
        <color rgb="FF000000"/>
        <rFont val="FreeSans"/>
        <family val="2"/>
      </rPr>
      <t xml:space="preserve">طريقة الاحتساب</t>
    </r>
    <r>
      <rPr>
        <sz val="12"/>
        <color rgb="FF000000"/>
        <rFont val="Tajawal"/>
        <family val="0"/>
        <charset val="1"/>
      </rPr>
      <t xml:space="preserve">). </t>
    </r>
    <r>
      <rPr>
        <sz val="12"/>
        <color rgb="FF000000"/>
        <rFont val="FreeSans"/>
        <family val="2"/>
      </rPr>
      <t xml:space="preserve">فالقوائم مترابطة، وتعرض في كل خطوة الخيارات المناسبة لما قبلها</t>
    </r>
    <r>
      <rPr>
        <sz val="12"/>
        <color rgb="FF000000"/>
        <rFont val="Tajawal"/>
        <family val="0"/>
        <charset val="1"/>
      </rPr>
      <t xml:space="preserve">.</t>
    </r>
  </si>
  <si>
    <t xml:space="preserve">8</t>
  </si>
  <si>
    <r>
      <rPr>
        <sz val="12"/>
        <color rgb="FF000000"/>
        <rFont val="FreeSans"/>
        <family val="2"/>
      </rPr>
      <t xml:space="preserve">إذا ظهرت خلية الوحدة أو التردد باللون الأحمر فهي متعارضة مع ما قبلها، وغالبًا بسبب تغيير القياس بعد الاختيار؛ فأعيدوا اختيارها</t>
    </r>
    <r>
      <rPr>
        <sz val="12"/>
        <color rgb="FF000000"/>
        <rFont val="Tajawal"/>
        <family val="0"/>
        <charset val="1"/>
      </rPr>
      <t xml:space="preserve">. </t>
    </r>
    <r>
      <rPr>
        <sz val="12"/>
        <color rgb="FF000000"/>
        <rFont val="FreeSans"/>
        <family val="2"/>
      </rPr>
      <t xml:space="preserve">ويمكن تغيير أي اختيار في أي وقت</t>
    </r>
    <r>
      <rPr>
        <sz val="12"/>
        <color rgb="FF000000"/>
        <rFont val="Tajawal"/>
        <family val="0"/>
        <charset val="1"/>
      </rPr>
      <t xml:space="preserve">.</t>
    </r>
  </si>
  <si>
    <t xml:space="preserve">9</t>
  </si>
  <si>
    <r>
      <rPr>
        <sz val="12"/>
        <color rgb="FF000000"/>
        <rFont val="FreeSans"/>
        <family val="2"/>
      </rPr>
      <t xml:space="preserve">اكتبوا الوزن رقمًا دون علامة </t>
    </r>
    <r>
      <rPr>
        <sz val="12"/>
        <color rgb="FF000000"/>
        <rFont val="Tajawal"/>
        <family val="0"/>
        <charset val="1"/>
      </rPr>
      <t xml:space="preserve">% (</t>
    </r>
    <r>
      <rPr>
        <sz val="12"/>
        <color rgb="FF000000"/>
        <rFont val="FreeSans"/>
        <family val="2"/>
      </rPr>
      <t xml:space="preserve">مثال</t>
    </r>
    <r>
      <rPr>
        <sz val="12"/>
        <color rgb="FF000000"/>
        <rFont val="Tajawal"/>
        <family val="0"/>
        <charset val="1"/>
      </rPr>
      <t xml:space="preserve">: 5). </t>
    </r>
    <r>
      <rPr>
        <sz val="12"/>
        <color rgb="FF000000"/>
        <rFont val="FreeSans"/>
        <family val="2"/>
      </rPr>
      <t xml:space="preserve">ولن يقبل الملف وزنًا يتجاوز به مجموع المنظور </t>
    </r>
    <r>
      <rPr>
        <sz val="12"/>
        <color rgb="FF000000"/>
        <rFont val="Tajawal"/>
        <family val="0"/>
        <charset val="1"/>
      </rPr>
      <t xml:space="preserve">25.</t>
    </r>
  </si>
  <si>
    <t xml:space="preserve">10</t>
  </si>
  <si>
    <r>
      <rPr>
        <sz val="12"/>
        <color rgb="FF000000"/>
        <rFont val="FreeSans"/>
        <family val="2"/>
      </rPr>
      <t xml:space="preserve">قبل الإرسال تأكدوا أن إجمالي الأوزان </t>
    </r>
    <r>
      <rPr>
        <sz val="12"/>
        <color rgb="FF000000"/>
        <rFont val="Tajawal"/>
        <family val="0"/>
        <charset val="1"/>
      </rPr>
      <t xml:space="preserve">25 </t>
    </r>
    <r>
      <rPr>
        <sz val="12"/>
        <color rgb="FF000000"/>
        <rFont val="FreeSans"/>
        <family val="2"/>
      </rPr>
      <t xml:space="preserve">في كل منظور، و</t>
    </r>
    <r>
      <rPr>
        <sz val="12"/>
        <color rgb="FF000000"/>
        <rFont val="Tajawal"/>
        <family val="0"/>
        <charset val="1"/>
      </rPr>
      <t xml:space="preserve">100 </t>
    </r>
    <r>
      <rPr>
        <sz val="12"/>
        <color rgb="FF000000"/>
        <rFont val="FreeSans"/>
        <family val="2"/>
      </rPr>
      <t xml:space="preserve">في صف مؤشر الأداء الكلي</t>
    </r>
    <r>
      <rPr>
        <sz val="12"/>
        <color rgb="FF000000"/>
        <rFont val="Tajawal"/>
        <family val="0"/>
        <charset val="1"/>
      </rPr>
      <t xml:space="preserve">.</t>
    </r>
  </si>
  <si>
    <t xml:space="preserve">11</t>
  </si>
  <si>
    <r>
      <rPr>
        <sz val="12"/>
        <color rgb="FF000000"/>
        <rFont val="FreeSans"/>
        <family val="2"/>
      </rPr>
      <t xml:space="preserve">في كل منظور </t>
    </r>
    <r>
      <rPr>
        <sz val="12"/>
        <color rgb="FF000000"/>
        <rFont val="Tajawal"/>
        <family val="0"/>
        <charset val="1"/>
      </rPr>
      <t xml:space="preserve">30 </t>
    </r>
    <r>
      <rPr>
        <sz val="12"/>
        <color rgb="FF000000"/>
        <rFont val="FreeSans"/>
        <family val="2"/>
      </rPr>
      <t xml:space="preserve">صفًا جاهزًا؛ احذفوا الزائد منها بعد اكتمال التعبئة </t>
    </r>
    <r>
      <rPr>
        <sz val="12"/>
        <color rgb="FF000000"/>
        <rFont val="Tajawal"/>
        <family val="0"/>
        <charset val="1"/>
      </rPr>
      <t xml:space="preserve">(</t>
    </r>
    <r>
      <rPr>
        <sz val="12"/>
        <color rgb="FF000000"/>
        <rFont val="FreeSans"/>
        <family val="2"/>
      </rPr>
      <t xml:space="preserve">حدّدوها من أرقام الصفوف ثم </t>
    </r>
    <r>
      <rPr>
        <sz val="12"/>
        <color rgb="FF000000"/>
        <rFont val="Tajawal"/>
        <family val="0"/>
        <charset val="1"/>
      </rPr>
      <t xml:space="preserve">«</t>
    </r>
    <r>
      <rPr>
        <sz val="12"/>
        <color rgb="FF000000"/>
        <rFont val="FreeSans"/>
        <family val="2"/>
      </rPr>
      <t xml:space="preserve">حذف</t>
    </r>
    <r>
      <rPr>
        <sz val="12"/>
        <color rgb="FF000000"/>
        <rFont val="Tajawal"/>
        <family val="0"/>
        <charset val="1"/>
      </rPr>
      <t xml:space="preserve">»). </t>
    </r>
    <r>
      <rPr>
        <sz val="12"/>
        <color rgb="FF000000"/>
        <rFont val="FreeSans"/>
        <family val="2"/>
      </rPr>
      <t xml:space="preserve">وتتسلسل الأكواد تلقائيًا بعد الحذف، ولذلك يكون الحذف قبل الاعتماد لا بعده</t>
    </r>
    <r>
      <rPr>
        <sz val="12"/>
        <color rgb="FF000000"/>
        <rFont val="Tajawal"/>
        <family val="0"/>
        <charset val="1"/>
      </rPr>
      <t xml:space="preserve">.</t>
    </r>
  </si>
  <si>
    <t xml:space="preserve">12</t>
  </si>
  <si>
    <r>
      <rPr>
        <sz val="12"/>
        <color rgb="FF000000"/>
        <rFont val="FreeSans"/>
        <family val="2"/>
      </rPr>
      <t xml:space="preserve">بعد اعتماد المصفوفة لا تُعدَّل المؤشرات ولا الأوزان ولا ترتيب الصفوف، ويقتصر التحديث على المنجز الفعلي لكل فترة</t>
    </r>
    <r>
      <rPr>
        <sz val="12"/>
        <color rgb="FF000000"/>
        <rFont val="Tajawal"/>
        <family val="0"/>
        <charset val="1"/>
      </rPr>
      <t xml:space="preserve">.</t>
    </r>
  </si>
  <si>
    <t xml:space="preserve">ورقتا الأنشطة والملخص</t>
  </si>
  <si>
    <t xml:space="preserve">13</t>
  </si>
  <si>
    <r>
      <rPr>
        <sz val="12"/>
        <color rgb="FF000000"/>
        <rFont val="FreeSans"/>
        <family val="2"/>
      </rPr>
      <t xml:space="preserve">سجّلوا كل نشاط مع ربعه ونوعه من القائمتين؛ ولعرض ربع واحد أو نوع واحد استخدموا الفلتر في رأس السجل</t>
    </r>
    <r>
      <rPr>
        <sz val="12"/>
        <color rgb="FF000000"/>
        <rFont val="Tajawal"/>
        <family val="0"/>
        <charset val="1"/>
      </rPr>
      <t xml:space="preserve">.</t>
    </r>
  </si>
  <si>
    <t xml:space="preserve">14</t>
  </si>
  <si>
    <r>
      <rPr>
        <sz val="12"/>
        <color rgb="FF000000"/>
        <rFont val="FreeSans"/>
        <family val="2"/>
      </rPr>
      <t xml:space="preserve">اكتبوا كود المؤشر الداعم كما يظهر في ورقة </t>
    </r>
    <r>
      <rPr>
        <sz val="12"/>
        <color rgb="FF000000"/>
        <rFont val="Tajawal"/>
        <family val="0"/>
        <charset val="1"/>
      </rPr>
      <t xml:space="preserve">KPI Tracking</t>
    </r>
    <r>
      <rPr>
        <sz val="12"/>
        <color rgb="FF000000"/>
        <rFont val="FreeSans"/>
        <family val="2"/>
      </rPr>
      <t xml:space="preserve">؛ ولن يقبل الملف كودًا غير موجود فيها</t>
    </r>
    <r>
      <rPr>
        <sz val="12"/>
        <color rgb="FF000000"/>
        <rFont val="Tajawal"/>
        <family val="0"/>
        <charset val="1"/>
      </rPr>
      <t xml:space="preserve">.</t>
    </r>
  </si>
  <si>
    <t xml:space="preserve">15</t>
  </si>
  <si>
    <r>
      <rPr>
        <sz val="12"/>
        <color rgb="FF000000"/>
        <rFont val="FreeSans"/>
        <family val="2"/>
      </rPr>
      <t xml:space="preserve">في الملخص لا تُكتب نتائج المؤشرات ولا ملخص الخطة التشغيلية يدويًا، فهي تُقرأ من الورقتين الأخريين</t>
    </r>
    <r>
      <rPr>
        <sz val="12"/>
        <color rgb="FF000000"/>
        <rFont val="Tajawal"/>
        <family val="0"/>
        <charset val="1"/>
      </rPr>
      <t xml:space="preserve">. </t>
    </r>
    <r>
      <rPr>
        <sz val="12"/>
        <color rgb="FF000000"/>
        <rFont val="FreeSans"/>
        <family val="2"/>
      </rPr>
      <t xml:space="preserve">وما يُكتب يدويًا</t>
    </r>
    <r>
      <rPr>
        <sz val="12"/>
        <color rgb="FF000000"/>
        <rFont val="Tajawal"/>
        <family val="0"/>
        <charset val="1"/>
      </rPr>
      <t xml:space="preserve">: </t>
    </r>
    <r>
      <rPr>
        <sz val="12"/>
        <color rgb="FF000000"/>
        <rFont val="FreeSans"/>
        <family val="2"/>
      </rPr>
      <t xml:space="preserve">المستفيدون المخطط لهم، والإحصاءات السنوية، والإنجازات، والتحديات، والمقترحات، والملاحظات</t>
    </r>
    <r>
      <rPr>
        <sz val="12"/>
        <color rgb="FF000000"/>
        <rFont val="Tajawal"/>
        <family val="0"/>
        <charset val="1"/>
      </rPr>
      <t xml:space="preserve">.</t>
    </r>
  </si>
  <si>
    <t xml:space="preserve">16</t>
  </si>
  <si>
    <r>
      <rPr>
        <sz val="12"/>
        <color rgb="FF000000"/>
        <rFont val="FreeSans"/>
        <family val="2"/>
      </rPr>
      <t xml:space="preserve">قبل إرسال الملف في نهاية كل ربع تأكدوا أن الفترة المختارة هي الربع المُبلَّغ عنه</t>
    </r>
    <r>
      <rPr>
        <sz val="12"/>
        <color rgb="FF000000"/>
        <rFont val="Tajawal"/>
        <family val="0"/>
        <charset val="1"/>
      </rPr>
      <t xml:space="preserve">.</t>
    </r>
  </si>
  <si>
    <r>
      <rPr>
        <sz val="14"/>
        <color rgb="FFFFFFFF"/>
        <rFont val="FreeSans"/>
        <family val="2"/>
      </rPr>
      <t xml:space="preserve">ثامنًا</t>
    </r>
    <r>
      <rPr>
        <sz val="14"/>
        <color rgb="FFFFFFFF"/>
        <rFont val="29LT Azer Medium"/>
        <family val="0"/>
        <charset val="1"/>
      </rPr>
      <t xml:space="preserve">: </t>
    </r>
    <r>
      <rPr>
        <sz val="14"/>
        <color rgb="FFFFFFFF"/>
        <rFont val="FreeSans"/>
        <family val="2"/>
      </rPr>
      <t xml:space="preserve">أخطاء شائعة نرجو تجنبها</t>
    </r>
  </si>
  <si>
    <r>
      <rPr>
        <b val="true"/>
        <sz val="12"/>
        <color rgb="FF137B79"/>
        <rFont val="FreeSans"/>
        <family val="2"/>
      </rPr>
      <t xml:space="preserve">اختيار </t>
    </r>
    <r>
      <rPr>
        <b val="true"/>
        <sz val="12"/>
        <color rgb="FF137B79"/>
        <rFont val="Tajawal"/>
        <family val="0"/>
        <charset val="1"/>
      </rPr>
      <t xml:space="preserve">«</t>
    </r>
    <r>
      <rPr>
        <b val="true"/>
        <sz val="12"/>
        <color rgb="FF137B79"/>
        <rFont val="FreeSans"/>
        <family val="2"/>
      </rPr>
      <t xml:space="preserve">مستقل</t>
    </r>
    <r>
      <rPr>
        <b val="true"/>
        <sz val="12"/>
        <color rgb="FF137B79"/>
        <rFont val="Tajawal"/>
        <family val="0"/>
        <charset val="1"/>
      </rPr>
      <t xml:space="preserve">» </t>
    </r>
    <r>
      <rPr>
        <b val="true"/>
        <sz val="12"/>
        <color rgb="FF137B79"/>
        <rFont val="FreeSans"/>
        <family val="2"/>
      </rPr>
      <t xml:space="preserve">لمؤشر مستوى</t>
    </r>
  </si>
  <si>
    <r>
      <rPr>
        <sz val="12"/>
        <color rgb="FF000000"/>
        <rFont val="FreeSans"/>
        <family val="2"/>
      </rPr>
      <t xml:space="preserve">مثل نسبة الرضا أو الحضور، فتُجمع قيم الفترات وتظهر نسب غير منطقية</t>
    </r>
    <r>
      <rPr>
        <sz val="12"/>
        <color rgb="FF000000"/>
        <rFont val="Tajawal"/>
        <family val="0"/>
        <charset val="1"/>
      </rPr>
      <t xml:space="preserve">. </t>
    </r>
    <r>
      <rPr>
        <sz val="12"/>
        <color rgb="FF000000"/>
        <rFont val="FreeSans"/>
        <family val="2"/>
      </rPr>
      <t xml:space="preserve">الصواب</t>
    </r>
    <r>
      <rPr>
        <sz val="12"/>
        <color rgb="FF000000"/>
        <rFont val="Tajawal"/>
        <family val="0"/>
        <charset val="1"/>
      </rPr>
      <t xml:space="preserve">: «</t>
    </r>
    <r>
      <rPr>
        <sz val="12"/>
        <color rgb="FF000000"/>
        <rFont val="FreeSans"/>
        <family val="2"/>
      </rPr>
      <t xml:space="preserve">متوسط</t>
    </r>
    <r>
      <rPr>
        <sz val="12"/>
        <color rgb="FF000000"/>
        <rFont val="Tajawal"/>
        <family val="0"/>
        <charset val="1"/>
      </rPr>
      <t xml:space="preserve">».</t>
    </r>
  </si>
  <si>
    <t xml:space="preserve">تسجيل الرصيد في مؤشر مستقل</t>
  </si>
  <si>
    <r>
      <rPr>
        <sz val="12"/>
        <color rgb="FF000000"/>
        <rFont val="FreeSans"/>
        <family val="2"/>
      </rPr>
      <t xml:space="preserve">إذا كانت القيم المسجلة أرصدة حتى تاريخه واختير </t>
    </r>
    <r>
      <rPr>
        <sz val="12"/>
        <color rgb="FF000000"/>
        <rFont val="Tajawal"/>
        <family val="0"/>
        <charset val="1"/>
      </rPr>
      <t xml:space="preserve">«</t>
    </r>
    <r>
      <rPr>
        <sz val="12"/>
        <color rgb="FF000000"/>
        <rFont val="FreeSans"/>
        <family val="2"/>
      </rPr>
      <t xml:space="preserve">مستقل</t>
    </r>
    <r>
      <rPr>
        <sz val="12"/>
        <color rgb="FF000000"/>
        <rFont val="Tajawal"/>
        <family val="0"/>
        <charset val="1"/>
      </rPr>
      <t xml:space="preserve">» </t>
    </r>
    <r>
      <rPr>
        <sz val="12"/>
        <color rgb="FF000000"/>
        <rFont val="FreeSans"/>
        <family val="2"/>
      </rPr>
      <t xml:space="preserve">تضاعف المنجز</t>
    </r>
    <r>
      <rPr>
        <sz val="12"/>
        <color rgb="FF000000"/>
        <rFont val="Tajawal"/>
        <family val="0"/>
        <charset val="1"/>
      </rPr>
      <t xml:space="preserve">. </t>
    </r>
    <r>
      <rPr>
        <sz val="12"/>
        <color rgb="FF000000"/>
        <rFont val="FreeSans"/>
        <family val="2"/>
      </rPr>
      <t xml:space="preserve">الصواب</t>
    </r>
    <r>
      <rPr>
        <sz val="12"/>
        <color rgb="FF000000"/>
        <rFont val="Tajawal"/>
        <family val="0"/>
        <charset val="1"/>
      </rPr>
      <t xml:space="preserve">: «</t>
    </r>
    <r>
      <rPr>
        <sz val="12"/>
        <color rgb="FF000000"/>
        <rFont val="FreeSans"/>
        <family val="2"/>
      </rPr>
      <t xml:space="preserve">تراكمي</t>
    </r>
    <r>
      <rPr>
        <sz val="12"/>
        <color rgb="FF000000"/>
        <rFont val="Tajawal"/>
        <family val="0"/>
        <charset val="1"/>
      </rPr>
      <t xml:space="preserve">».</t>
    </r>
  </si>
  <si>
    <t xml:space="preserve">إضافة خط الأساس إلى المستهدف</t>
  </si>
  <si>
    <r>
      <rPr>
        <sz val="12"/>
        <color rgb="FF000000"/>
        <rFont val="FreeSans"/>
        <family val="2"/>
      </rPr>
      <t xml:space="preserve">اكتبوا في خانة المستهدف ما تريدون تحقيقه هذا العام فقط</t>
    </r>
    <r>
      <rPr>
        <sz val="12"/>
        <color rgb="FF000000"/>
        <rFont val="Tajawal"/>
        <family val="0"/>
        <charset val="1"/>
      </rPr>
      <t xml:space="preserve">.</t>
    </r>
  </si>
  <si>
    <r>
      <rPr>
        <b val="true"/>
        <sz val="12"/>
        <color rgb="FF137B79"/>
        <rFont val="FreeSans"/>
        <family val="2"/>
      </rPr>
      <t xml:space="preserve">كتابة الوزن بعلامة </t>
    </r>
    <r>
      <rPr>
        <b val="true"/>
        <sz val="12"/>
        <color rgb="FF137B79"/>
        <rFont val="Tajawal"/>
        <family val="0"/>
        <charset val="1"/>
      </rPr>
      <t xml:space="preserve">%</t>
    </r>
  </si>
  <si>
    <r>
      <rPr>
        <sz val="12"/>
        <color rgb="FF000000"/>
        <rFont val="FreeSans"/>
        <family val="2"/>
      </rPr>
      <t xml:space="preserve">يحوّل </t>
    </r>
    <r>
      <rPr>
        <sz val="12"/>
        <color rgb="FF000000"/>
        <rFont val="Tajawal"/>
        <family val="0"/>
        <charset val="1"/>
      </rPr>
      <t xml:space="preserve">Excel «5%» </t>
    </r>
    <r>
      <rPr>
        <sz val="12"/>
        <color rgb="FF000000"/>
        <rFont val="FreeSans"/>
        <family val="2"/>
      </rPr>
      <t xml:space="preserve">إلى </t>
    </r>
    <r>
      <rPr>
        <sz val="12"/>
        <color rgb="FF000000"/>
        <rFont val="Tajawal"/>
        <family val="0"/>
        <charset val="1"/>
      </rPr>
      <t xml:space="preserve">0.05 </t>
    </r>
    <r>
      <rPr>
        <sz val="12"/>
        <color rgb="FF000000"/>
        <rFont val="FreeSans"/>
        <family val="2"/>
      </rPr>
      <t xml:space="preserve">فتختل الحسابات</t>
    </r>
    <r>
      <rPr>
        <sz val="12"/>
        <color rgb="FF000000"/>
        <rFont val="Tajawal"/>
        <family val="0"/>
        <charset val="1"/>
      </rPr>
      <t xml:space="preserve">. </t>
    </r>
    <r>
      <rPr>
        <sz val="12"/>
        <color rgb="FF000000"/>
        <rFont val="FreeSans"/>
        <family val="2"/>
      </rPr>
      <t xml:space="preserve">اكتبوا </t>
    </r>
    <r>
      <rPr>
        <sz val="12"/>
        <color rgb="FF000000"/>
        <rFont val="Tajawal"/>
        <family val="0"/>
        <charset val="1"/>
      </rPr>
      <t xml:space="preserve">5 </t>
    </r>
    <r>
      <rPr>
        <sz val="12"/>
        <color rgb="FF000000"/>
        <rFont val="FreeSans"/>
        <family val="2"/>
      </rPr>
      <t xml:space="preserve">فقط</t>
    </r>
    <r>
      <rPr>
        <sz val="12"/>
        <color rgb="FF000000"/>
        <rFont val="Tajawal"/>
        <family val="0"/>
        <charset val="1"/>
      </rPr>
      <t xml:space="preserve">.</t>
    </r>
  </si>
  <si>
    <t xml:space="preserve">مؤشر يقيس نشاطًا لا هدفًا</t>
  </si>
  <si>
    <r>
      <rPr>
        <sz val="12"/>
        <color rgb="FF000000"/>
        <rFont val="FreeSans"/>
        <family val="2"/>
      </rPr>
      <t xml:space="preserve">مثل </t>
    </r>
    <r>
      <rPr>
        <sz val="12"/>
        <color rgb="FF000000"/>
        <rFont val="Tajawal"/>
        <family val="0"/>
        <charset val="1"/>
      </rPr>
      <t xml:space="preserve">«</t>
    </r>
    <r>
      <rPr>
        <sz val="12"/>
        <color rgb="FF000000"/>
        <rFont val="FreeSans"/>
        <family val="2"/>
      </rPr>
      <t xml:space="preserve">عدد الاجتماعات</t>
    </r>
    <r>
      <rPr>
        <sz val="12"/>
        <color rgb="FF000000"/>
        <rFont val="Tajawal"/>
        <family val="0"/>
        <charset val="1"/>
      </rPr>
      <t xml:space="preserve">»</t>
    </r>
    <r>
      <rPr>
        <sz val="12"/>
        <color rgb="FF000000"/>
        <rFont val="FreeSans"/>
        <family val="2"/>
      </rPr>
      <t xml:space="preserve">؛ اسألوا دائمًا</t>
    </r>
    <r>
      <rPr>
        <sz val="12"/>
        <color rgb="FF000000"/>
        <rFont val="Tajawal"/>
        <family val="0"/>
        <charset val="1"/>
      </rPr>
      <t xml:space="preserve">: </t>
    </r>
    <r>
      <rPr>
        <sz val="12"/>
        <color rgb="FF000000"/>
        <rFont val="FreeSans"/>
        <family val="2"/>
      </rPr>
      <t xml:space="preserve">هل تحسّن هذا الرقم يعني أن الهدف تحقق فعلًا؟</t>
    </r>
  </si>
  <si>
    <t xml:space="preserve">نشاط بلا ربع أو نوع</t>
  </si>
  <si>
    <r>
      <rPr>
        <sz val="12"/>
        <color rgb="FF000000"/>
        <rFont val="FreeSans"/>
        <family val="2"/>
      </rPr>
      <t xml:space="preserve">فلا يدخل في إجماليات الفترة والنوع ولا في ملخص الخطة التشغيلية</t>
    </r>
    <r>
      <rPr>
        <sz val="12"/>
        <color rgb="FF000000"/>
        <rFont val="Tajawal"/>
        <family val="0"/>
        <charset val="1"/>
      </rPr>
      <t xml:space="preserve">. </t>
    </r>
    <r>
      <rPr>
        <sz val="12"/>
        <color rgb="FF000000"/>
        <rFont val="FreeSans"/>
        <family val="2"/>
      </rPr>
      <t xml:space="preserve">اختاروا الربع والنوع لكل سطر</t>
    </r>
    <r>
      <rPr>
        <sz val="12"/>
        <color rgb="FF000000"/>
        <rFont val="Tajawal"/>
        <family val="0"/>
        <charset val="1"/>
      </rPr>
      <t xml:space="preserve">.</t>
    </r>
  </si>
  <si>
    <t xml:space="preserve">إرسال التقرير بفترة غير محدّثة</t>
  </si>
  <si>
    <r>
      <rPr>
        <sz val="12"/>
        <color rgb="FF000000"/>
        <rFont val="FreeSans"/>
        <family val="2"/>
      </rPr>
      <t xml:space="preserve">فتُعرض نتائج ربع آخر</t>
    </r>
    <r>
      <rPr>
        <sz val="12"/>
        <color rgb="FF000000"/>
        <rFont val="Tajawal"/>
        <family val="0"/>
        <charset val="1"/>
      </rPr>
      <t xml:space="preserve">. </t>
    </r>
    <r>
      <rPr>
        <sz val="12"/>
        <color rgb="FF000000"/>
        <rFont val="FreeSans"/>
        <family val="2"/>
      </rPr>
      <t xml:space="preserve">اختاروا الفترة قبل الإرسال</t>
    </r>
    <r>
      <rPr>
        <sz val="12"/>
        <color rgb="FF000000"/>
        <rFont val="Tajawal"/>
        <family val="0"/>
        <charset val="1"/>
      </rPr>
      <t xml:space="preserve">.</t>
    </r>
  </si>
  <si>
    <r>
      <rPr>
        <sz val="12"/>
        <color rgb="FF000000"/>
        <rFont val="FreeSans"/>
        <family val="2"/>
      </rPr>
      <t xml:space="preserve">ختامًا، فإن المكتب شريككم في هذا العمل قبل أن يكون مشرفًا عليه؛ وغايتنا جميعًا أن نخدم رسالة مؤسساتنا بوضوح وصدق</t>
    </r>
    <r>
      <rPr>
        <sz val="12"/>
        <color rgb="FF000000"/>
        <rFont val="Tajawal"/>
        <family val="0"/>
        <charset val="1"/>
      </rPr>
      <t xml:space="preserve">. </t>
    </r>
    <r>
      <rPr>
        <sz val="12"/>
        <color rgb="FF000000"/>
        <rFont val="FreeSans"/>
        <family val="2"/>
      </rPr>
      <t xml:space="preserve">وأي استفسار عن المنهجية أو الملف، فباب المكتب مفتوح لكم</t>
    </r>
    <r>
      <rPr>
        <sz val="12"/>
        <color rgb="FF000000"/>
        <rFont val="Tajawal"/>
        <family val="0"/>
        <charset val="1"/>
      </rPr>
      <t xml:space="preserve">.</t>
    </r>
  </si>
  <si>
    <t xml:space="preserve">مدير مكتب الإشراف والتطوير المؤسسي</t>
  </si>
  <si>
    <r>
      <rPr>
        <sz val="18"/>
        <color rgb="FFFFFFFF"/>
        <rFont val="29LT Azer Medium"/>
        <family val="0"/>
        <charset val="1"/>
      </rPr>
      <t xml:space="preserve">Oversight and Institutional Development (OID)
</t>
    </r>
    <r>
      <rPr>
        <sz val="18"/>
        <color rgb="FFFFFFFF"/>
        <rFont val="FreeSans"/>
        <family val="2"/>
      </rPr>
      <t xml:space="preserve">مكتب الإشراف والتطوير المؤسسي</t>
    </r>
  </si>
  <si>
    <t xml:space="preserve">Performance Monitoring Template Guide: Methodology and Instructions</t>
  </si>
  <si>
    <t xml:space="preserve">Dear colleagues,</t>
  </si>
  <si>
    <t xml:space="preserve">Before you is the Performance Monitoring Template: the tool with which each institution tracks its key performance indicators and activities throughout the year and prepares its quarterly and annual reports, and through which we read the performance of all our institutions in one common language. In this guide I have not limited myself to explaining the fields and formulas; I have also set out the reasoning on which the file is built, because whoever understands why we measure measures better. Please read the guide in full before the first use, and return to it whenever something is unclear.</t>
  </si>
  <si>
    <t xml:space="preserve">First: The File and the Work Cycle</t>
  </si>
  <si>
    <t xml:space="preserve">The file consists of linked sheets; data is entered once in each and flows automatically to wherever it is needed:</t>
  </si>
  <si>
    <t xml:space="preserve">Sheet</t>
  </si>
  <si>
    <t xml:space="preserve">Purpose</t>
  </si>
  <si>
    <t xml:space="preserve">When it is filled in</t>
  </si>
  <si>
    <t xml:space="preserve">The balanced scorecard: objectives, indicators, weights, targets and actual achievement for each period, with achievement rates and overall performance calculated automatically.</t>
  </si>
  <si>
    <t xml:space="preserve">At planning, then every quarter</t>
  </si>
  <si>
    <r>
      <rPr>
        <sz val="11.5"/>
        <color rgb="FF000000"/>
        <rFont val="Tajawal"/>
        <family val="0"/>
        <charset val="1"/>
      </rPr>
      <t xml:space="preserve">Activities (</t>
    </r>
    <r>
      <rPr>
        <sz val="11.5"/>
        <color rgb="FF000000"/>
        <rFont val="FreeSans"/>
        <family val="2"/>
      </rPr>
      <t xml:space="preserve">الأنشطة</t>
    </r>
    <r>
      <rPr>
        <sz val="11.5"/>
        <color rgb="FF000000"/>
        <rFont val="Tajawal"/>
        <family val="0"/>
        <charset val="1"/>
      </rPr>
      <t xml:space="preserve">)
Operational Plan Implementation Report</t>
    </r>
  </si>
  <si>
    <t xml:space="preserve">A single register of programs, activities, community events and training, each in a row with its quarter and type, with totals by type for the selected period and for the year.</t>
  </si>
  <si>
    <t xml:space="preserve">Every quarter</t>
  </si>
  <si>
    <r>
      <rPr>
        <sz val="11.5"/>
        <color rgb="FF000000"/>
        <rFont val="Tajawal"/>
        <family val="0"/>
        <charset val="1"/>
      </rPr>
      <t xml:space="preserve">Summary (</t>
    </r>
    <r>
      <rPr>
        <sz val="11.5"/>
        <color rgb="FF000000"/>
        <rFont val="FreeSans"/>
        <family val="2"/>
      </rPr>
      <t xml:space="preserve">الملخص</t>
    </r>
    <r>
      <rPr>
        <sz val="11.5"/>
        <color rgb="FF000000"/>
        <rFont val="Tajawal"/>
        <family val="0"/>
        <charset val="1"/>
      </rPr>
      <t xml:space="preserve">)</t>
    </r>
  </si>
  <si>
    <t xml:space="preserve">The performance report: it reads the indicator results and the operational plan summary automatically, and is where achievements, challenges, proposals and annual statistics are written.</t>
  </si>
  <si>
    <t xml:space="preserve">Every quarter; annual statistics in the fourth quarter</t>
  </si>
  <si>
    <t xml:space="preserve">The lists and settings the formulas rely on.</t>
  </si>
  <si>
    <t xml:space="preserve">Neither filled in nor changed</t>
  </si>
  <si>
    <t xml:space="preserve">The work cycle</t>
  </si>
  <si>
    <t xml:space="preserve">At the start of the year, the objectives and indicators, then the full matrix, are approved (see Step 3 in Section Four), and activities are planned. At the end of each quarter, record the actual achievement of the indicators, add the quarter’s activities, and write up its achievements and challenges; then select the period at the top of the KPI Tracking sheet and send the file to the Office. That is the report for the quarter. In the fourth quarter, fill in the annual statistics and proposals, and the file becomes the annual report.</t>
  </si>
  <si>
    <t xml:space="preserve">One file per year</t>
  </si>
  <si>
    <t xml:space="preserve">The institution works on the same file throughout the year, so each quarter builds on the previous one and nothing is entered twice. The Office keeps a copy of each quarterly submission as received.</t>
  </si>
  <si>
    <t xml:space="preserve">Second: Why Do We Measure?</t>
  </si>
  <si>
    <t xml:space="preserve">Measuring to learn</t>
  </si>
  <si>
    <t xml:space="preserve">We do not measure to hold people to account, but to know where we stand against our objectives and to correct course before the end of the year, not after it.</t>
  </si>
  <si>
    <t xml:space="preserve">What gets measured gets managed</t>
  </si>
  <si>
    <t xml:space="preserve">And what is measured wrongly is managed wrongly: a poor indicator is worse than none, because it gives false confidence and directs effort to the wrong place.</t>
  </si>
  <si>
    <t xml:space="preserve">A common language</t>
  </si>
  <si>
    <t xml:space="preserve">Our institutions differ in nature (humanitarian, educational and developmental), but they share one methodology that allows fair comparison, the exchange of experience, and the consolidation of the whole network’s performance.</t>
  </si>
  <si>
    <t xml:space="preserve">Honesty before appearance</t>
  </si>
  <si>
    <t xml:space="preserve">A modest but honest achievement rate is more useful to the institution than a high rate that does not reflect reality: the first opens the door to improvement; the second closes it.</t>
  </si>
  <si>
    <t xml:space="preserve">Third: The Logic of the Balanced Scorecard</t>
  </si>
  <si>
    <t xml:space="preserve">The scorecard looks at the institution from four angles together, because looking from one angle hides what happens in the others: financial indicators may improve at the expense of staff, or activities may be completed without their impact reaching the beneficiary.</t>
  </si>
  <si>
    <t xml:space="preserve">Perspective</t>
  </si>
  <si>
    <t xml:space="preserve">The question it answers</t>
  </si>
  <si>
    <t xml:space="preserve">Focus areas</t>
  </si>
  <si>
    <t xml:space="preserve">Example indicator</t>
  </si>
  <si>
    <t xml:space="preserve">Stakeholders</t>
  </si>
  <si>
    <t xml:space="preserve">Are we delivering the expected impact for those we serve, our partners and the bodies we work with?</t>
  </si>
  <si>
    <t xml:space="preserve">Beneficiary satisfaction, quality and impact of outputs, expanding reach, relations with donors and partners, institutional reputation</t>
  </si>
  <si>
    <t xml:space="preserve">Beneficiary satisfaction rate with services</t>
  </si>
  <si>
    <t xml:space="preserve">Internal Processes</t>
  </si>
  <si>
    <t xml:space="preserve">Which of our processes must we excel at to achieve that impact?</t>
  </si>
  <si>
    <t xml:space="preserve">Project implementation, efficiency and speed of procedures, service quality and compliance</t>
  </si>
  <si>
    <t xml:space="preserve">Average response time to beneficiary requests</t>
  </si>
  <si>
    <t xml:space="preserve">Learning &amp; Growth</t>
  </si>
  <si>
    <t xml:space="preserve">What do we need in our people, systems and culture to keep developing?</t>
  </si>
  <si>
    <t xml:space="preserve">Staff competencies and training, job satisfaction and retention, institutional governance, digital transformation, institutional systems and knowledge, a culture of improvement</t>
  </si>
  <si>
    <t xml:space="preserve">Training plan implementation rate</t>
  </si>
  <si>
    <t xml:space="preserve">Financial</t>
  </si>
  <si>
    <t xml:space="preserve">How do we ensure sustainability and the efficient use of resources?</t>
  </si>
  <si>
    <t xml:space="preserve">Revenue diversification and sustainability, spending efficiency, budget adherence</t>
  </si>
  <si>
    <t xml:space="preserve">Share of revenue from non-donor sources</t>
  </si>
  <si>
    <t xml:space="preserve">To tell Internal Processes from Learning &amp; Growth: internal processes are what is carried out again in every work cycle, while learning and growth are capabilities that are built up, accumulate and remain within the institution.</t>
  </si>
  <si>
    <t xml:space="preserve">Cause and effect</t>
  </si>
  <si>
    <t xml:space="preserve">The perspectives are not separate lists but a chain: investing in learning and growth improves processes, good processes deliver impact for stakeholders, and the financial perspective sustains it all. In our non-profit institutions, our mission towards stakeholders sits at the top of the chain, and money remains a means of sustainability, not an end in itself.</t>
  </si>
  <si>
    <t xml:space="preserve">The meaning of balance</t>
  </si>
  <si>
    <t xml:space="preserve">That is why each perspective carries an equal 25% of the weight, so that no perspective dominates another and excellence in one area does not mask failure in another.</t>
  </si>
  <si>
    <t xml:space="preserve">Fourth: The Indicator Methodology Step by Step</t>
  </si>
  <si>
    <t xml:space="preserve">Step 1
Objectives</t>
  </si>
  <si>
    <t xml:space="preserve">Start from the strategic objectives approved in your institution’s plan, not from the indicators that happen to be available. Phrase each objective as a desired result (“Improve beneficiary satisfaction with services”), not as an activity (“Conduct a survey”).</t>
  </si>
  <si>
    <t xml:space="preserve">Step 2
The indicator</t>
  </si>
  <si>
    <t xml:space="preserve">A good indicator measures the objective directly, is supported by reliable data, and is defined precisely enough that two people calculating it would arrive at the same number. Two to four indicators per objective are enough; too many indicators scatter attention and add nothing.</t>
  </si>
  <si>
    <t xml:space="preserve">Step 3
Phased approval</t>
  </si>
  <si>
    <t xml:space="preserve">The Office approves the matrix in two stages. The first covers the objectives and indicators, before anything is filled in: the Office checks that each objective belongs to its perspective and that its indicators are sound. The second covers the full matrix, with its weights and targets, before measurement begins. Do not start filling in before the first stage is approved, nor start monitoring before the second, because moving an objective to another perspective or changing an indicator after filling means redoing the whole work.</t>
  </si>
  <si>
    <t xml:space="preserve">Step 4
Measurement &amp; unit</t>
  </si>
  <si>
    <t xml:space="preserve">First set the measurement type: quantitative percentage, with % as its unit; quantitative number, with count, amount or days as its unit; or qualitative, converted to a score on the five-point Likert scale so that it can be measured and compared.</t>
  </si>
  <si>
    <t xml:space="preserve">Step 5
KPI role</t>
  </si>
  <si>
    <t xml:space="preserve">A leading indicator measures what we are doing now that leads to the result (e.g. training hours); a lagging indicator measures what has been achieved (e.g. beneficiary satisfaction). Wherever possible, give each objective both types: if the result falls behind, we look back at the leading indicators, and if they are behind too, the problem lies in execution.</t>
  </si>
  <si>
    <t xml:space="preserve">Step 6
Polarity</t>
  </si>
  <si>
    <t xml:space="preserve">Ascending: the higher the number, the better (number of beneficiaries). Descending: the lower the number, the better (response time, dropout rate).</t>
  </si>
  <si>
    <t xml:space="preserve">Step 7
Calculation method</t>
  </si>
  <si>
    <t xml:space="preserve">This is the most important decision when filling in an indicator, and it alone determines how the annual achievement is calculated, whatever the unit. Before choosing, ask: is the number I record for this period a new portion added to what came before? A running balance to date? Or a measurement of an existing level?</t>
  </si>
  <si>
    <t xml:space="preserve">Calculation method</t>
  </si>
  <si>
    <t xml:space="preserve">What is recorded each period</t>
  </si>
  <si>
    <t xml:space="preserve">How the annual achievement is calculated</t>
  </si>
  <si>
    <t xml:space="preserve">Examples</t>
  </si>
  <si>
    <t xml:space="preserve">Independent</t>
  </si>
  <si>
    <t xml:space="preserve">Only what was achieved within the period</t>
  </si>
  <si>
    <t xml:space="preserve">Sum of the periods</t>
  </si>
  <si>
    <t xml:space="preserve">New beneficiaries, revenue collected, an achievement rate split across periods</t>
  </si>
  <si>
    <t xml:space="preserve">Cumulative</t>
  </si>
  <si>
    <t xml:space="preserve">The balance achieved by the end of the period</t>
  </si>
  <si>
    <t xml:space="preserve">Last recorded value</t>
  </si>
  <si>
    <t xml:space="preserve">Project completion rate to date, number of active partnerships</t>
  </si>
  <si>
    <t xml:space="preserve">Average</t>
  </si>
  <si>
    <t xml:space="preserve">A separate measurement of an existing level</t>
  </si>
  <si>
    <t xml:space="preserve">Average of the periods</t>
  </si>
  <si>
    <t xml:space="preserve">Beneficiary satisfaction rate, attendance rate, Likert scores</t>
  </si>
  <si>
    <t xml:space="preserve">Annual</t>
  </si>
  <si>
    <t xml:space="preserve">A single measurement at year end</t>
  </si>
  <si>
    <t xml:space="preserve">Fourth-quarter value</t>
  </si>
  <si>
    <t xml:space="preserve">Annual assessment indicators</t>
  </si>
  <si>
    <t xml:space="preserve">Note: the unit alone does not determine the calculation method. A percentage may be an achievement rate that is summed, or a satisfaction level that must never be summed. If “Independent” were chosen for a satisfaction rate with values of 78, 80, 82 and 80, the file would add them up to 320%.</t>
  </si>
  <si>
    <t xml:space="preserve">Step 8
Baseline &amp; target</t>
  </si>
  <si>
    <t xml:space="preserve">The baseline is the level you start from before the plan period; it is the reference for judging how ambitious the target is and how much improvement has been made. In the annual target field, enter only what you aim to achieve this year, without adding the baseline to it; the file shows their sum in the “Total (B+T)” column wherever a sum is meaningful. For level indicators (calculated as an average or on the Likert scale), the target is a final level that is not added to the baseline, so that column stays empty for them.</t>
  </si>
  <si>
    <t xml:space="preserve">Step 9
Spreading the target across periods</t>
  </si>
  <si>
    <t xml:space="preserve">Independent: split the target into portions that add up to the annual target. Cumulative: enter the planned balance at the end of each period, with the last one equal to the target. Average: enter the same target level for each period. Annual: the fourth quarter only. The achievement rate is calculated against the annual target; the plan for each period is a reference for periodic follow-up.</t>
  </si>
  <si>
    <t xml:space="preserve">Step 10
Weights</t>
  </si>
  <si>
    <t xml:space="preserve">Each perspective carries exactly 25%, for a total of 100%. Distribute a perspective’s weight among its indicators according to the importance and strategic impact of the objective each one belongs to, and avoid fragmenting the weight across many indicators with token weights that make no difference.</t>
  </si>
  <si>
    <t xml:space="preserve">Step 11
Monitoring &amp; evidence</t>
  </si>
  <si>
    <t xml:space="preserve">Record the actual achievement for each period after it closes, and keep the source and evidence of every figure ready for review during the Office’s visits. Figures for a past period are not changed after submission except with a written explanation to the Office.</t>
  </si>
  <si>
    <t xml:space="preserve">Fifth: How to Read the Indicator Results</t>
  </si>
  <si>
    <t xml:space="preserve">Annual achievement</t>
  </si>
  <si>
    <t xml:space="preserve">Calculated automatically according to the calculation method chosen for each indicator.</t>
  </si>
  <si>
    <t xml:space="preserve">Achievement rate</t>
  </si>
  <si>
    <t xml:space="preserve">For an ascending indicator: achievement ÷ target. For a descending one: target ÷ achievement. It is shown at its true value even above 100%, so that over-achievement is visible as it is.</t>
  </si>
  <si>
    <t xml:space="preserve">Weighted score</t>
  </si>
  <si>
    <t xml:space="preserve">Achievement rate × indicator weight, counting 100% as the maximum. Over-achievement on one indicator is noted and appreciated, but it does not compensate for under-achievement on another; that is what balance means.</t>
  </si>
  <si>
    <t xml:space="preserve">Totals</t>
  </si>
  <si>
    <t xml:space="preserve">Each perspective total is out of 25, and the institution’s overall performance index is out of 100.</t>
  </si>
  <si>
    <t xml:space="preserve">An empty cell is not zero</t>
  </si>
  <si>
    <t xml:space="preserve">Until data is entered the result stays empty, and an annual indicator shows no result before the fourth-quarter value is entered. Empty means “not yet measured”, not “not achieved”.</t>
  </si>
  <si>
    <t xml:space="preserve">Sixth: Activities and the Performance Report</t>
  </si>
  <si>
    <t xml:space="preserve">Recording activities</t>
  </si>
  <si>
    <t xml:space="preserve">Record each activity in a row with the quarter in which it was carried out and its type (program, project or activity; community event; or training and capacity building), with its beneficiaries or participants, plan and achievement. An activity spanning more than one quarter is recorded in one row per quarter, with what was planned and achieved in each. Enter the code of the indicator the activity serves, so that the link between what we do and what we measure is visible.</t>
  </si>
  <si>
    <t xml:space="preserve">Activity totals</t>
  </si>
  <si>
    <t xml:space="preserve">Below the register is a totals table for each type and overall: for the selected period alone and for the full year. Rows of the selected quarter are shaded in the register so that it is clear what its totals include.</t>
  </si>
  <si>
    <t xml:space="preserve">Indicator results in the summary</t>
  </si>
  <si>
    <t xml:space="preserve">Read automatically from the total rows of the KPI Tracking sheet: each perspective’s weight, weighted and achieved scores and rating, then the overall score. Ratings follow a single scale: Weak below 60%, Average from 60%, Good from 75%, Excellent from 90%.</t>
  </si>
  <si>
    <t xml:space="preserve">Operational plan summary</t>
  </si>
  <si>
    <t xml:space="preserve">Read automatically from the activities register according to each activity’s type, from the start of the year up to the selected period: programs and activities carried out, beneficiaries reached, events and community engagement, and capacity-building programs. Only the planned number of beneficiaries is entered manually.</t>
  </si>
  <si>
    <t xml:space="preserve">Narrative sections</t>
  </si>
  <si>
    <t xml:space="preserve">Write each achievement with its impact and the code of the indicator it supports; each challenge with its causes and the action taken; and each proposal to the Board of Trustees with its justification, priority and estimated cost. A good report does not merely list what happened; it explains it and proposes what comes next.</t>
  </si>
  <si>
    <t xml:space="preserve">Annual statistics</t>
  </si>
  <si>
    <t xml:space="preserve">A comparison between the previous and the current year, filled in for the fourth-quarter report only.</t>
  </si>
  <si>
    <t xml:space="preserve">Seventh: Instructions for Use</t>
  </si>
  <si>
    <t xml:space="preserve">General</t>
  </si>
  <si>
    <t xml:space="preserve">Do not start filling in the file before the Office has approved the objectives and indicators, nor start monitoring before the full matrix is approved (see Step 3).</t>
  </si>
  <si>
    <t xml:space="preserve">Select the institution name and the period from the two lists at the top of the KPI Tracking sheet; they control the whole file, appear automatically in the Activities and Summary sheets, and the institution’s abbreviation appears in the indicator codes.</t>
  </si>
  <si>
    <t xml:space="preserve">Turquoise cells are calculated automatically; do not type in them or change them.</t>
  </si>
  <si>
    <t xml:space="preserve">Do not change the Data sheet or the wording of the list options, as the formulas depend on them.</t>
  </si>
  <si>
    <t xml:space="preserve">The file can be used left-to-right and filled in English, as all headings and options are bilingual. To change the sheet direction, use the “Sheet Right-to-Left” button on the Page Layout tab. In either case, choose values from the lists rather than typing them, because the calculations rely on the option text exactly as it is.</t>
  </si>
  <si>
    <t xml:space="preserve">The KPI Tracking sheet</t>
  </si>
  <si>
    <t xml:space="preserve">Write the objective only in the first row of its group, and leave the objective cell empty in the following rows, according to the number of indicators that belong to it.</t>
  </si>
  <si>
    <t xml:space="preserve">Fill in the columns in order: Measurement, then Unit, then Frequency (calculation method). The lists are linked, and at each step they show only the options that fit the previous choice.</t>
  </si>
  <si>
    <t xml:space="preserve">If a Unit or Frequency cell turns red, it conflicts with the previous choice, usually because the Measurement was changed afterwards; simply choose it again. Any choice can be changed at any time.</t>
  </si>
  <si>
    <t xml:space="preserve">Enter the weight as a number without the % sign (e.g. 5). The file will not accept a weight that pushes the perspective total above 25.</t>
  </si>
  <si>
    <t xml:space="preserve">Before submitting, make sure the weights total 25 in each perspective and 100 in the overall performance index row.</t>
  </si>
  <si>
    <t xml:space="preserve">Each perspective has 30 ready rows; delete the unused ones once filling is complete (select them by their row numbers, then “Delete”). Codes renumber automatically after deletion, so delete before approval, not after.</t>
  </si>
  <si>
    <t xml:space="preserve">Once the matrix is approved, indicators, weights and row order are not changed; updates are limited to the actual achievement for each period.</t>
  </si>
  <si>
    <t xml:space="preserve">The Activities and Summary sheets</t>
  </si>
  <si>
    <t xml:space="preserve">Record every activity with its quarter and type from the two lists; to view a single quarter or type, use the filter at the top of the register.</t>
  </si>
  <si>
    <t xml:space="preserve">Enter the supporting KPI code exactly as it appears in the KPI Tracking sheet; the file will not accept a code that does not exist there.</t>
  </si>
  <si>
    <t xml:space="preserve">In the Summary, indicator results and the operational plan summary are not typed in; they are read from the other two sheets. What is written manually: planned beneficiaries, annual statistics, achievements, challenges, proposals and notes.</t>
  </si>
  <si>
    <t xml:space="preserve">Before sending the file at the end of each quarter, make sure the selected period is the quarter being reported.</t>
  </si>
  <si>
    <t xml:space="preserve">Eighth: Common Mistakes to Avoid</t>
  </si>
  <si>
    <t xml:space="preserve">Choosing “Independent” for a level indicator</t>
  </si>
  <si>
    <t xml:space="preserve">Such as a satisfaction or attendance rate: the period values are added up and illogical rates appear. Correct choice: “Average”.</t>
  </si>
  <si>
    <t xml:space="preserve">Recording balances under “Independent”</t>
  </si>
  <si>
    <t xml:space="preserve">If the recorded values are balances to date and “Independent” is chosen, the achievement is inflated. Correct choice: “Cumulative”.</t>
  </si>
  <si>
    <t xml:space="preserve">Adding the baseline to the target</t>
  </si>
  <si>
    <t xml:space="preserve">In the target field, enter only what you aim to achieve this year.</t>
  </si>
  <si>
    <t xml:space="preserve">Entering the weight with a % sign</t>
  </si>
  <si>
    <t xml:space="preserve">Excel turns “5%” into 0.05 and the calculations go wrong. Enter 5 only.</t>
  </si>
  <si>
    <t xml:space="preserve">An indicator that measures an activity, not an objective</t>
  </si>
  <si>
    <t xml:space="preserve">Such as “number of meetings”. Always ask: does an improvement in this number really mean the objective has been achieved?</t>
  </si>
  <si>
    <t xml:space="preserve">An activity with no quarter or type</t>
  </si>
  <si>
    <t xml:space="preserve">It is left out of the period and type totals and the operational plan summary. Choose the quarter and type for every row.</t>
  </si>
  <si>
    <t xml:space="preserve">Sending the report with the wrong period selected</t>
  </si>
  <si>
    <t xml:space="preserve">The results of another quarter are shown. Select the period before sending.</t>
  </si>
  <si>
    <t xml:space="preserve">In closing, the Office is your partner in this work before it is your supervisor; our shared aim is to serve our institutions’ mission with clarity and honesty. For any question about the methodology or the file, the Office’s door is open to you.</t>
  </si>
  <si>
    <t xml:space="preserve">Director, Oversight and Institutional Development Office</t>
  </si>
  <si>
    <r>
      <rPr>
        <sz val="16"/>
        <color rgb="FFFFFFFF"/>
        <rFont val="FreeSans"/>
        <family val="2"/>
      </rPr>
      <t xml:space="preserve">متابعة مؤشرات الأداء  </t>
    </r>
    <r>
      <rPr>
        <sz val="16"/>
        <color rgb="FFFFFFFF"/>
        <rFont val="29LT Azer Medium"/>
        <family val="0"/>
        <charset val="1"/>
      </rPr>
      <t xml:space="preserve">/  KPI Tracking</t>
    </r>
  </si>
  <si>
    <r>
      <rPr>
        <b val="true"/>
        <sz val="11"/>
        <color rgb="FF000000"/>
        <rFont val="FreeSans"/>
        <family val="2"/>
      </rPr>
      <t xml:space="preserve">معدّ التقرير
</t>
    </r>
    <r>
      <rPr>
        <b val="true"/>
        <sz val="11"/>
        <color rgb="FF000000"/>
        <rFont val="Tajawal"/>
        <family val="0"/>
        <charset val="1"/>
      </rPr>
      <t xml:space="preserve">Report Prepared By</t>
    </r>
  </si>
  <si>
    <t xml:space="preserve">معدّ تجريبي</t>
  </si>
  <si>
    <r>
      <rPr>
        <b val="true"/>
        <sz val="11"/>
        <color rgb="FF000000"/>
        <rFont val="FreeSans"/>
        <family val="2"/>
      </rPr>
      <t xml:space="preserve">اسم المؤسسة
</t>
    </r>
    <r>
      <rPr>
        <b val="true"/>
        <sz val="11"/>
        <color rgb="FF000000"/>
        <rFont val="Tajawal"/>
        <family val="0"/>
        <charset val="1"/>
      </rPr>
      <t xml:space="preserve">Institution</t>
    </r>
  </si>
  <si>
    <r>
      <rPr>
        <sz val="11"/>
        <color rgb="FF000000"/>
        <rFont val="FreeSans"/>
        <family val="2"/>
      </rPr>
      <t xml:space="preserve">مؤسسة زمزم </t>
    </r>
    <r>
      <rPr>
        <sz val="11"/>
        <color rgb="FF000000"/>
        <rFont val="Tajawal"/>
        <family val="0"/>
        <charset val="1"/>
      </rPr>
      <t xml:space="preserve">Zamzam Foundation</t>
    </r>
  </si>
  <si>
    <r>
      <rPr>
        <b val="true"/>
        <sz val="11"/>
        <color rgb="FF000000"/>
        <rFont val="FreeSans"/>
        <family val="2"/>
      </rPr>
      <t xml:space="preserve">مراجعة واعتماد
</t>
    </r>
    <r>
      <rPr>
        <b val="true"/>
        <sz val="11"/>
        <color rgb="FF000000"/>
        <rFont val="Tajawal"/>
        <family val="0"/>
        <charset val="1"/>
      </rPr>
      <t xml:space="preserve">Review &amp; Approval</t>
    </r>
  </si>
  <si>
    <r>
      <rPr>
        <b val="true"/>
        <sz val="11"/>
        <color rgb="FF000000"/>
        <rFont val="FreeSans"/>
        <family val="2"/>
      </rPr>
      <t xml:space="preserve">الفترة
</t>
    </r>
    <r>
      <rPr>
        <b val="true"/>
        <sz val="11"/>
        <color rgb="FF000000"/>
        <rFont val="Tajawal"/>
        <family val="0"/>
        <charset val="1"/>
      </rPr>
      <t xml:space="preserve">Period</t>
    </r>
  </si>
  <si>
    <t xml:space="preserve">Q2</t>
  </si>
  <si>
    <r>
      <rPr>
        <sz val="14"/>
        <color rgb="FFFFFFFF"/>
        <rFont val="FreeSans"/>
        <family val="2"/>
      </rPr>
      <t xml:space="preserve">منظور أصحاب المصلحة </t>
    </r>
    <r>
      <rPr>
        <sz val="14"/>
        <color rgb="FFFFFFFF"/>
        <rFont val="29LT Azer Medium"/>
        <family val="0"/>
        <charset val="1"/>
      </rPr>
      <t xml:space="preserve">Stakeholder Perspective</t>
    </r>
  </si>
  <si>
    <r>
      <rPr>
        <b val="true"/>
        <sz val="11"/>
        <color rgb="FFFFFFFF"/>
        <rFont val="FreeSans"/>
        <family val="2"/>
      </rPr>
      <t xml:space="preserve">العوامل الأساسية  </t>
    </r>
    <r>
      <rPr>
        <b val="true"/>
        <sz val="11"/>
        <color rgb="FFFFFFFF"/>
        <rFont val="Tajawal"/>
        <family val="0"/>
        <charset val="1"/>
      </rPr>
      <t xml:space="preserve">/  Key Drivers</t>
    </r>
  </si>
  <si>
    <r>
      <rPr>
        <b val="true"/>
        <sz val="11"/>
        <color rgb="FFFFFFFF"/>
        <rFont val="FreeSans"/>
        <family val="2"/>
      </rPr>
      <t xml:space="preserve">الإجمالي
</t>
    </r>
    <r>
      <rPr>
        <b val="true"/>
        <sz val="11"/>
        <color rgb="FFFFFFFF"/>
        <rFont val="Tajawal"/>
        <family val="0"/>
        <charset val="1"/>
      </rPr>
      <t xml:space="preserve">Total</t>
    </r>
  </si>
  <si>
    <r>
      <rPr>
        <b val="true"/>
        <sz val="11"/>
        <color rgb="FFFFFFFF"/>
        <rFont val="FreeSans"/>
        <family val="2"/>
      </rPr>
      <t xml:space="preserve">المخطط والمنجز  </t>
    </r>
    <r>
      <rPr>
        <b val="true"/>
        <sz val="11"/>
        <color rgb="FFFFFFFF"/>
        <rFont val="Tajawal"/>
        <family val="0"/>
        <charset val="1"/>
      </rPr>
      <t xml:space="preserve">/  Planned &amp; Achieved</t>
    </r>
  </si>
  <si>
    <r>
      <rPr>
        <b val="true"/>
        <sz val="11"/>
        <color rgb="FFFFFFFF"/>
        <rFont val="FreeSans"/>
        <family val="2"/>
      </rPr>
      <t xml:space="preserve">النتائج  </t>
    </r>
    <r>
      <rPr>
        <b val="true"/>
        <sz val="11"/>
        <color rgb="FFFFFFFF"/>
        <rFont val="Tajawal"/>
        <family val="0"/>
        <charset val="1"/>
      </rPr>
      <t xml:space="preserve">/  Results</t>
    </r>
  </si>
  <si>
    <t xml:space="preserve">#</t>
  </si>
  <si>
    <r>
      <rPr>
        <b val="true"/>
        <sz val="11"/>
        <color rgb="FF000000"/>
        <rFont val="FreeSans"/>
        <family val="2"/>
      </rPr>
      <t xml:space="preserve">الهدف
</t>
    </r>
    <r>
      <rPr>
        <b val="true"/>
        <sz val="11"/>
        <color rgb="FF000000"/>
        <rFont val="Tajawal"/>
        <family val="0"/>
        <charset val="1"/>
      </rPr>
      <t xml:space="preserve">Objective</t>
    </r>
  </si>
  <si>
    <r>
      <rPr>
        <b val="true"/>
        <sz val="11"/>
        <color rgb="FF000000"/>
        <rFont val="FreeSans"/>
        <family val="2"/>
      </rPr>
      <t xml:space="preserve">مؤشر الأداء
</t>
    </r>
    <r>
      <rPr>
        <b val="true"/>
        <sz val="11"/>
        <color rgb="FF000000"/>
        <rFont val="Tajawal"/>
        <family val="0"/>
        <charset val="1"/>
      </rPr>
      <t xml:space="preserve">KPI</t>
    </r>
  </si>
  <si>
    <r>
      <rPr>
        <b val="true"/>
        <sz val="11"/>
        <color rgb="FF000000"/>
        <rFont val="FreeSans"/>
        <family val="2"/>
      </rPr>
      <t xml:space="preserve">الكود
</t>
    </r>
    <r>
      <rPr>
        <b val="true"/>
        <sz val="11"/>
        <color rgb="FF000000"/>
        <rFont val="Tajawal"/>
        <family val="0"/>
        <charset val="1"/>
      </rPr>
      <t xml:space="preserve">Code</t>
    </r>
  </si>
  <si>
    <r>
      <rPr>
        <b val="true"/>
        <sz val="11"/>
        <color rgb="FF000000"/>
        <rFont val="FreeSans"/>
        <family val="2"/>
      </rPr>
      <t xml:space="preserve">القياس
</t>
    </r>
    <r>
      <rPr>
        <b val="true"/>
        <sz val="11"/>
        <color rgb="FF000000"/>
        <rFont val="Tajawal"/>
        <family val="0"/>
        <charset val="1"/>
      </rPr>
      <t xml:space="preserve">Measurement</t>
    </r>
  </si>
  <si>
    <r>
      <rPr>
        <b val="true"/>
        <sz val="11"/>
        <color rgb="FF000000"/>
        <rFont val="FreeSans"/>
        <family val="2"/>
      </rPr>
      <t xml:space="preserve">دور المؤشر
</t>
    </r>
    <r>
      <rPr>
        <b val="true"/>
        <sz val="11"/>
        <color rgb="FF000000"/>
        <rFont val="Tajawal"/>
        <family val="0"/>
        <charset val="1"/>
      </rPr>
      <t xml:space="preserve">KPI Role</t>
    </r>
  </si>
  <si>
    <r>
      <rPr>
        <b val="true"/>
        <sz val="11"/>
        <color rgb="FF000000"/>
        <rFont val="FreeSans"/>
        <family val="2"/>
      </rPr>
      <t xml:space="preserve">الوحدة
</t>
    </r>
    <r>
      <rPr>
        <b val="true"/>
        <sz val="11"/>
        <color rgb="FF000000"/>
        <rFont val="Tajawal"/>
        <family val="0"/>
        <charset val="1"/>
      </rPr>
      <t xml:space="preserve">Unit</t>
    </r>
  </si>
  <si>
    <r>
      <rPr>
        <b val="true"/>
        <sz val="11"/>
        <color rgb="FF000000"/>
        <rFont val="FreeSans"/>
        <family val="2"/>
      </rPr>
      <t xml:space="preserve">القطبية
</t>
    </r>
    <r>
      <rPr>
        <b val="true"/>
        <sz val="11"/>
        <color rgb="FF000000"/>
        <rFont val="Tajawal"/>
        <family val="0"/>
        <charset val="1"/>
      </rPr>
      <t xml:space="preserve">Polarity</t>
    </r>
  </si>
  <si>
    <r>
      <rPr>
        <b val="true"/>
        <sz val="11"/>
        <color rgb="FF000000"/>
        <rFont val="FreeSans"/>
        <family val="2"/>
      </rPr>
      <t xml:space="preserve">التردد
</t>
    </r>
    <r>
      <rPr>
        <b val="true"/>
        <sz val="11"/>
        <color rgb="FF000000"/>
        <rFont val="Tajawal"/>
        <family val="0"/>
        <charset val="1"/>
      </rPr>
      <t xml:space="preserve">Frequency</t>
    </r>
  </si>
  <si>
    <r>
      <rPr>
        <b val="true"/>
        <sz val="11"/>
        <color rgb="FF000000"/>
        <rFont val="FreeSans"/>
        <family val="2"/>
      </rPr>
      <t xml:space="preserve">الوزن
</t>
    </r>
    <r>
      <rPr>
        <b val="true"/>
        <sz val="11"/>
        <color rgb="FF000000"/>
        <rFont val="Tajawal"/>
        <family val="0"/>
        <charset val="1"/>
      </rPr>
      <t xml:space="preserve">Weight %</t>
    </r>
  </si>
  <si>
    <r>
      <rPr>
        <b val="true"/>
        <sz val="11"/>
        <color rgb="FF000000"/>
        <rFont val="FreeSans"/>
        <family val="2"/>
      </rPr>
      <t xml:space="preserve">خط الأساس
</t>
    </r>
    <r>
      <rPr>
        <b val="true"/>
        <sz val="11"/>
        <color rgb="FF000000"/>
        <rFont val="Tajawal"/>
        <family val="0"/>
        <charset val="1"/>
      </rPr>
      <t xml:space="preserve">Baseline</t>
    </r>
  </si>
  <si>
    <r>
      <rPr>
        <b val="true"/>
        <sz val="11"/>
        <color rgb="FF000000"/>
        <rFont val="FreeSans"/>
        <family val="2"/>
      </rPr>
      <t xml:space="preserve">المستهدف السنوي
</t>
    </r>
    <r>
      <rPr>
        <b val="true"/>
        <sz val="11"/>
        <color rgb="FF000000"/>
        <rFont val="Tajawal"/>
        <family val="0"/>
        <charset val="1"/>
      </rPr>
      <t xml:space="preserve">Annual Target</t>
    </r>
  </si>
  <si>
    <r>
      <rPr>
        <b val="true"/>
        <sz val="11"/>
        <color rgb="FF000000"/>
        <rFont val="FreeSans"/>
        <family val="2"/>
      </rPr>
      <t xml:space="preserve">الإجمالي
</t>
    </r>
    <r>
      <rPr>
        <b val="true"/>
        <sz val="11"/>
        <color rgb="FF000000"/>
        <rFont val="Tajawal"/>
        <family val="0"/>
        <charset val="1"/>
      </rPr>
      <t xml:space="preserve">Total (B+T)</t>
    </r>
  </si>
  <si>
    <r>
      <rPr>
        <b val="true"/>
        <sz val="11"/>
        <color rgb="FF000000"/>
        <rFont val="FreeSans"/>
        <family val="2"/>
      </rPr>
      <t xml:space="preserve">مخطط
</t>
    </r>
    <r>
      <rPr>
        <b val="true"/>
        <sz val="11"/>
        <color rgb="FF000000"/>
        <rFont val="Tajawal"/>
        <family val="0"/>
        <charset val="1"/>
      </rPr>
      <t xml:space="preserve">Q1 Plan</t>
    </r>
  </si>
  <si>
    <r>
      <rPr>
        <b val="true"/>
        <sz val="11"/>
        <color rgb="FF000000"/>
        <rFont val="FreeSans"/>
        <family val="2"/>
      </rPr>
      <t xml:space="preserve">منجز
</t>
    </r>
    <r>
      <rPr>
        <b val="true"/>
        <sz val="11"/>
        <color rgb="FF000000"/>
        <rFont val="Tajawal"/>
        <family val="0"/>
        <charset val="1"/>
      </rPr>
      <t xml:space="preserve">Q1 Actual</t>
    </r>
  </si>
  <si>
    <r>
      <rPr>
        <b val="true"/>
        <sz val="11"/>
        <color rgb="FF000000"/>
        <rFont val="FreeSans"/>
        <family val="2"/>
      </rPr>
      <t xml:space="preserve">مخطط
</t>
    </r>
    <r>
      <rPr>
        <b val="true"/>
        <sz val="11"/>
        <color rgb="FF000000"/>
        <rFont val="Tajawal"/>
        <family val="0"/>
        <charset val="1"/>
      </rPr>
      <t xml:space="preserve">Q2 Plan</t>
    </r>
  </si>
  <si>
    <r>
      <rPr>
        <b val="true"/>
        <sz val="11"/>
        <color rgb="FF000000"/>
        <rFont val="FreeSans"/>
        <family val="2"/>
      </rPr>
      <t xml:space="preserve">منجز
</t>
    </r>
    <r>
      <rPr>
        <b val="true"/>
        <sz val="11"/>
        <color rgb="FF000000"/>
        <rFont val="Tajawal"/>
        <family val="0"/>
        <charset val="1"/>
      </rPr>
      <t xml:space="preserve">Q2 Actual</t>
    </r>
  </si>
  <si>
    <r>
      <rPr>
        <b val="true"/>
        <sz val="11"/>
        <color rgb="FF000000"/>
        <rFont val="FreeSans"/>
        <family val="2"/>
      </rPr>
      <t xml:space="preserve">مخطط
</t>
    </r>
    <r>
      <rPr>
        <b val="true"/>
        <sz val="11"/>
        <color rgb="FF000000"/>
        <rFont val="Tajawal"/>
        <family val="0"/>
        <charset val="1"/>
      </rPr>
      <t xml:space="preserve">Q3 Plan</t>
    </r>
  </si>
  <si>
    <r>
      <rPr>
        <b val="true"/>
        <sz val="11"/>
        <color rgb="FF000000"/>
        <rFont val="FreeSans"/>
        <family val="2"/>
      </rPr>
      <t xml:space="preserve">منجز
</t>
    </r>
    <r>
      <rPr>
        <b val="true"/>
        <sz val="11"/>
        <color rgb="FF000000"/>
        <rFont val="Tajawal"/>
        <family val="0"/>
        <charset val="1"/>
      </rPr>
      <t xml:space="preserve">Q3 Actual</t>
    </r>
  </si>
  <si>
    <r>
      <rPr>
        <b val="true"/>
        <sz val="11"/>
        <color rgb="FF000000"/>
        <rFont val="FreeSans"/>
        <family val="2"/>
      </rPr>
      <t xml:space="preserve">مخطط
</t>
    </r>
    <r>
      <rPr>
        <b val="true"/>
        <sz val="11"/>
        <color rgb="FF000000"/>
        <rFont val="Tajawal"/>
        <family val="0"/>
        <charset val="1"/>
      </rPr>
      <t xml:space="preserve">Q4 Plan</t>
    </r>
  </si>
  <si>
    <r>
      <rPr>
        <b val="true"/>
        <sz val="11"/>
        <color rgb="FF000000"/>
        <rFont val="FreeSans"/>
        <family val="2"/>
      </rPr>
      <t xml:space="preserve">منجز
</t>
    </r>
    <r>
      <rPr>
        <b val="true"/>
        <sz val="11"/>
        <color rgb="FF000000"/>
        <rFont val="Tajawal"/>
        <family val="0"/>
        <charset val="1"/>
      </rPr>
      <t xml:space="preserve">Q4 Actual</t>
    </r>
  </si>
  <si>
    <r>
      <rPr>
        <b val="true"/>
        <sz val="11"/>
        <color rgb="FF000000"/>
        <rFont val="FreeSans"/>
        <family val="2"/>
      </rPr>
      <t xml:space="preserve">المنجز السنوي
</t>
    </r>
    <r>
      <rPr>
        <b val="true"/>
        <sz val="11"/>
        <color rgb="FF000000"/>
        <rFont val="Tajawal"/>
        <family val="0"/>
        <charset val="1"/>
      </rPr>
      <t xml:space="preserve">Annual Achieved</t>
    </r>
  </si>
  <si>
    <r>
      <rPr>
        <b val="true"/>
        <sz val="11"/>
        <color rgb="FF000000"/>
        <rFont val="FreeSans"/>
        <family val="2"/>
      </rPr>
      <t xml:space="preserve">نسبة الإنجاز
</t>
    </r>
    <r>
      <rPr>
        <b val="true"/>
        <sz val="11"/>
        <color rgb="FF000000"/>
        <rFont val="Tajawal"/>
        <family val="0"/>
        <charset val="1"/>
      </rPr>
      <t xml:space="preserve">Achievement %</t>
    </r>
  </si>
  <si>
    <r>
      <rPr>
        <b val="true"/>
        <sz val="11"/>
        <color rgb="FF000000"/>
        <rFont val="FreeSans"/>
        <family val="2"/>
      </rPr>
      <t xml:space="preserve">النسبة المرجحة
</t>
    </r>
    <r>
      <rPr>
        <b val="true"/>
        <sz val="11"/>
        <color rgb="FF000000"/>
        <rFont val="Tajawal"/>
        <family val="0"/>
        <charset val="1"/>
      </rPr>
      <t xml:space="preserve">Weighted %</t>
    </r>
  </si>
  <si>
    <t xml:space="preserve">تحسين رضا المستفيدين عن الخدمات</t>
  </si>
  <si>
    <t xml:space="preserve">نسبة رضا المستفيدين</t>
  </si>
  <si>
    <r>
      <rPr>
        <sz val="11"/>
        <color rgb="FF000000"/>
        <rFont val="FreeSans"/>
        <family val="2"/>
      </rPr>
      <t xml:space="preserve">كمي نسبي </t>
    </r>
    <r>
      <rPr>
        <sz val="11"/>
        <color rgb="FF000000"/>
        <rFont val="Tajawal"/>
        <family val="0"/>
        <charset val="1"/>
      </rPr>
      <t xml:space="preserve">Quantitative %</t>
    </r>
  </si>
  <si>
    <r>
      <rPr>
        <sz val="11"/>
        <color rgb="FF000000"/>
        <rFont val="FreeSans"/>
        <family val="2"/>
      </rPr>
      <t xml:space="preserve">نتائج </t>
    </r>
    <r>
      <rPr>
        <sz val="11"/>
        <color rgb="FF000000"/>
        <rFont val="Tajawal"/>
        <family val="0"/>
        <charset val="1"/>
      </rPr>
      <t xml:space="preserve">Lagging</t>
    </r>
  </si>
  <si>
    <r>
      <rPr>
        <sz val="11"/>
        <color rgb="FF000000"/>
        <rFont val="FreeSans"/>
        <family val="2"/>
      </rPr>
      <t xml:space="preserve">نسبة </t>
    </r>
    <r>
      <rPr>
        <sz val="11"/>
        <color rgb="FF000000"/>
        <rFont val="Tajawal"/>
        <family val="0"/>
        <charset val="1"/>
      </rPr>
      <t xml:space="preserve">% Percentage</t>
    </r>
  </si>
  <si>
    <r>
      <rPr>
        <sz val="11"/>
        <color rgb="FF000000"/>
        <rFont val="FreeSans"/>
        <family val="2"/>
      </rPr>
      <t xml:space="preserve">تصاعدي </t>
    </r>
    <r>
      <rPr>
        <sz val="11"/>
        <color rgb="FF000000"/>
        <rFont val="Tajawal"/>
        <family val="0"/>
        <charset val="1"/>
      </rPr>
      <t xml:space="preserve">Ascending</t>
    </r>
  </si>
  <si>
    <r>
      <rPr>
        <sz val="11"/>
        <color rgb="FF000000"/>
        <rFont val="FreeSans"/>
        <family val="2"/>
      </rPr>
      <t xml:space="preserve">ربعي </t>
    </r>
    <r>
      <rPr>
        <sz val="11"/>
        <color rgb="FF000000"/>
        <rFont val="Tajawal"/>
        <family val="0"/>
        <charset val="1"/>
      </rPr>
      <t xml:space="preserve">- </t>
    </r>
    <r>
      <rPr>
        <sz val="11"/>
        <color rgb="FF000000"/>
        <rFont val="FreeSans"/>
        <family val="2"/>
      </rPr>
      <t xml:space="preserve">متوسط </t>
    </r>
    <r>
      <rPr>
        <sz val="11"/>
        <color rgb="FF000000"/>
        <rFont val="Tajawal"/>
        <family val="0"/>
        <charset val="1"/>
      </rPr>
      <t xml:space="preserve">Quarterly-Average</t>
    </r>
  </si>
  <si>
    <t xml:space="preserve">عدد المستفيدين الجدد</t>
  </si>
  <si>
    <r>
      <rPr>
        <sz val="11"/>
        <color rgb="FF000000"/>
        <rFont val="FreeSans"/>
        <family val="2"/>
      </rPr>
      <t xml:space="preserve">كمي عددي </t>
    </r>
    <r>
      <rPr>
        <sz val="11"/>
        <color rgb="FF000000"/>
        <rFont val="Tajawal"/>
        <family val="0"/>
        <charset val="1"/>
      </rPr>
      <t xml:space="preserve">Quantitative Number</t>
    </r>
  </si>
  <si>
    <r>
      <rPr>
        <sz val="11"/>
        <color rgb="FF000000"/>
        <rFont val="FreeSans"/>
        <family val="2"/>
      </rPr>
      <t xml:space="preserve">عدد </t>
    </r>
    <r>
      <rPr>
        <sz val="11"/>
        <color rgb="FF000000"/>
        <rFont val="Tajawal"/>
        <family val="0"/>
        <charset val="1"/>
      </rPr>
      <t xml:space="preserve">Number</t>
    </r>
  </si>
  <si>
    <r>
      <rPr>
        <sz val="11"/>
        <color rgb="FF000000"/>
        <rFont val="FreeSans"/>
        <family val="2"/>
      </rPr>
      <t xml:space="preserve">ربعي </t>
    </r>
    <r>
      <rPr>
        <sz val="11"/>
        <color rgb="FF000000"/>
        <rFont val="Tajawal"/>
        <family val="0"/>
        <charset val="1"/>
      </rPr>
      <t xml:space="preserve">- </t>
    </r>
    <r>
      <rPr>
        <sz val="11"/>
        <color rgb="FF000000"/>
        <rFont val="FreeSans"/>
        <family val="2"/>
      </rPr>
      <t xml:space="preserve">مستقل </t>
    </r>
    <r>
      <rPr>
        <sz val="11"/>
        <color rgb="FF000000"/>
        <rFont val="Tajawal"/>
        <family val="0"/>
        <charset val="1"/>
      </rPr>
      <t xml:space="preserve">Quarterly-Independent</t>
    </r>
  </si>
  <si>
    <t xml:space="preserve">تعزيز الشراكات</t>
  </si>
  <si>
    <t xml:space="preserve">عدد الشراكات الفعالة</t>
  </si>
  <si>
    <r>
      <rPr>
        <sz val="11"/>
        <color rgb="FF000000"/>
        <rFont val="FreeSans"/>
        <family val="2"/>
      </rPr>
      <t xml:space="preserve">قيادي </t>
    </r>
    <r>
      <rPr>
        <sz val="11"/>
        <color rgb="FF000000"/>
        <rFont val="Tajawal"/>
        <family val="0"/>
        <charset val="1"/>
      </rPr>
      <t xml:space="preserve">Leading</t>
    </r>
  </si>
  <si>
    <r>
      <rPr>
        <sz val="11"/>
        <color rgb="FF000000"/>
        <rFont val="FreeSans"/>
        <family val="2"/>
      </rPr>
      <t xml:space="preserve">ربعي </t>
    </r>
    <r>
      <rPr>
        <sz val="11"/>
        <color rgb="FF000000"/>
        <rFont val="Tajawal"/>
        <family val="0"/>
        <charset val="1"/>
      </rPr>
      <t xml:space="preserve">- </t>
    </r>
    <r>
      <rPr>
        <sz val="11"/>
        <color rgb="FF000000"/>
        <rFont val="FreeSans"/>
        <family val="2"/>
      </rPr>
      <t xml:space="preserve">تراكمي </t>
    </r>
    <r>
      <rPr>
        <sz val="11"/>
        <color rgb="FF000000"/>
        <rFont val="Tajawal"/>
        <family val="0"/>
        <charset val="1"/>
      </rPr>
      <t xml:space="preserve">Quarterly-Cumulative</t>
    </r>
  </si>
  <si>
    <r>
      <rPr>
        <b val="true"/>
        <sz val="10"/>
        <color rgb="FFFFFFFF"/>
        <rFont val="FreeSans"/>
        <family val="2"/>
      </rPr>
      <t xml:space="preserve">الإجمالي  </t>
    </r>
    <r>
      <rPr>
        <b val="true"/>
        <sz val="10"/>
        <color rgb="FFFFFFFF"/>
        <rFont val="Tajawal"/>
        <family val="0"/>
        <charset val="1"/>
      </rPr>
      <t xml:space="preserve">/  Total</t>
    </r>
  </si>
  <si>
    <r>
      <rPr>
        <sz val="14"/>
        <color rgb="FFFFFFFF"/>
        <rFont val="FreeSans"/>
        <family val="2"/>
      </rPr>
      <t xml:space="preserve">منظور العمليات الداخلية </t>
    </r>
    <r>
      <rPr>
        <sz val="14"/>
        <color rgb="FFFFFFFF"/>
        <rFont val="29LT Azer Medium"/>
        <family val="0"/>
        <charset val="1"/>
      </rPr>
      <t xml:space="preserve">Internal Process Perspective</t>
    </r>
  </si>
  <si>
    <t xml:space="preserve">رفع كفاءة الإجراءات</t>
  </si>
  <si>
    <t xml:space="preserve">متوسط مدة الاستجابة</t>
  </si>
  <si>
    <r>
      <rPr>
        <sz val="11"/>
        <color rgb="FF000000"/>
        <rFont val="FreeSans"/>
        <family val="2"/>
      </rPr>
      <t xml:space="preserve">أيام </t>
    </r>
    <r>
      <rPr>
        <sz val="11"/>
        <color rgb="FF000000"/>
        <rFont val="Tajawal"/>
        <family val="0"/>
        <charset val="1"/>
      </rPr>
      <t xml:space="preserve">Days</t>
    </r>
  </si>
  <si>
    <r>
      <rPr>
        <sz val="11"/>
        <color rgb="FF000000"/>
        <rFont val="FreeSans"/>
        <family val="2"/>
      </rPr>
      <t xml:space="preserve">تنازلي </t>
    </r>
    <r>
      <rPr>
        <sz val="11"/>
        <color rgb="FF000000"/>
        <rFont val="Tajawal"/>
        <family val="0"/>
        <charset val="1"/>
      </rPr>
      <t xml:space="preserve">Descending</t>
    </r>
  </si>
  <si>
    <t xml:space="preserve">نسبة إنجاز المشاريع</t>
  </si>
  <si>
    <r>
      <rPr>
        <sz val="11"/>
        <color rgb="FF000000"/>
        <rFont val="FreeSans"/>
        <family val="2"/>
      </rPr>
      <t xml:space="preserve">نصف سنوي </t>
    </r>
    <r>
      <rPr>
        <sz val="11"/>
        <color rgb="FF000000"/>
        <rFont val="Tajawal"/>
        <family val="0"/>
        <charset val="1"/>
      </rPr>
      <t xml:space="preserve">- </t>
    </r>
    <r>
      <rPr>
        <sz val="11"/>
        <color rgb="FF000000"/>
        <rFont val="FreeSans"/>
        <family val="2"/>
      </rPr>
      <t xml:space="preserve">تراكمي </t>
    </r>
    <r>
      <rPr>
        <sz val="11"/>
        <color rgb="FF000000"/>
        <rFont val="Tajawal"/>
        <family val="0"/>
        <charset val="1"/>
      </rPr>
      <t xml:space="preserve">Semi-Annual-Cumulative</t>
    </r>
  </si>
  <si>
    <t xml:space="preserve">عدد الشكاوى</t>
  </si>
  <si>
    <r>
      <rPr>
        <sz val="14"/>
        <color rgb="FFFFFFFF"/>
        <rFont val="FreeSans"/>
        <family val="2"/>
      </rPr>
      <t xml:space="preserve">منظور التعلّم والنّمو </t>
    </r>
    <r>
      <rPr>
        <sz val="14"/>
        <color rgb="FFFFFFFF"/>
        <rFont val="29LT Azer Medium"/>
        <family val="0"/>
        <charset val="1"/>
      </rPr>
      <t xml:space="preserve">Learning &amp; Growth Perspective</t>
    </r>
  </si>
  <si>
    <t xml:space="preserve">تطوير بيئة العمل</t>
  </si>
  <si>
    <t xml:space="preserve">رضا الموظفين</t>
  </si>
  <si>
    <r>
      <rPr>
        <sz val="11"/>
        <color rgb="FF000000"/>
        <rFont val="FreeSans"/>
        <family val="2"/>
      </rPr>
      <t xml:space="preserve">نوعي </t>
    </r>
    <r>
      <rPr>
        <sz val="11"/>
        <color rgb="FF000000"/>
        <rFont val="Tajawal"/>
        <family val="0"/>
        <charset val="1"/>
      </rPr>
      <t xml:space="preserve">Qualitative</t>
    </r>
  </si>
  <si>
    <r>
      <rPr>
        <sz val="11"/>
        <color rgb="FF000000"/>
        <rFont val="FreeSans"/>
        <family val="2"/>
      </rPr>
      <t xml:space="preserve">مقياس ليكرت الخماسي </t>
    </r>
    <r>
      <rPr>
        <sz val="11"/>
        <color rgb="FF000000"/>
        <rFont val="Tajawal"/>
        <family val="0"/>
        <charset val="1"/>
      </rPr>
      <t xml:space="preserve">Likert 1-5</t>
    </r>
  </si>
  <si>
    <r>
      <rPr>
        <sz val="11"/>
        <color rgb="FF000000"/>
        <rFont val="FreeSans"/>
        <family val="2"/>
      </rPr>
      <t xml:space="preserve">نصف سنوي </t>
    </r>
    <r>
      <rPr>
        <sz val="11"/>
        <color rgb="FF000000"/>
        <rFont val="Tajawal"/>
        <family val="0"/>
        <charset val="1"/>
      </rPr>
      <t xml:space="preserve">- </t>
    </r>
    <r>
      <rPr>
        <sz val="11"/>
        <color rgb="FF000000"/>
        <rFont val="FreeSans"/>
        <family val="2"/>
      </rPr>
      <t xml:space="preserve">متوسط </t>
    </r>
    <r>
      <rPr>
        <sz val="11"/>
        <color rgb="FF000000"/>
        <rFont val="Tajawal"/>
        <family val="0"/>
        <charset val="1"/>
      </rPr>
      <t xml:space="preserve">Semi-Annual-Average</t>
    </r>
  </si>
  <si>
    <t xml:space="preserve">بناء القدرات</t>
  </si>
  <si>
    <t xml:space="preserve">عدد ساعات التدريب</t>
  </si>
  <si>
    <r>
      <rPr>
        <sz val="11"/>
        <color rgb="FF000000"/>
        <rFont val="FreeSans"/>
        <family val="2"/>
      </rPr>
      <t xml:space="preserve">نصف سنوي </t>
    </r>
    <r>
      <rPr>
        <sz val="11"/>
        <color rgb="FF000000"/>
        <rFont val="Tajawal"/>
        <family val="0"/>
        <charset val="1"/>
      </rPr>
      <t xml:space="preserve">- </t>
    </r>
    <r>
      <rPr>
        <sz val="11"/>
        <color rgb="FF000000"/>
        <rFont val="FreeSans"/>
        <family val="2"/>
      </rPr>
      <t xml:space="preserve">مستقل </t>
    </r>
    <r>
      <rPr>
        <sz val="11"/>
        <color rgb="FF000000"/>
        <rFont val="Tajawal"/>
        <family val="0"/>
        <charset val="1"/>
      </rPr>
      <t xml:space="preserve">Semi-Annual-Independent</t>
    </r>
  </si>
  <si>
    <r>
      <rPr>
        <sz val="11"/>
        <color rgb="FF000000"/>
        <rFont val="FreeSans"/>
        <family val="2"/>
      </rPr>
      <t xml:space="preserve">سنوي </t>
    </r>
    <r>
      <rPr>
        <sz val="11"/>
        <color rgb="FF000000"/>
        <rFont val="Tajawal"/>
        <family val="0"/>
        <charset val="1"/>
      </rPr>
      <t xml:space="preserve">Annual</t>
    </r>
  </si>
  <si>
    <r>
      <rPr>
        <sz val="14"/>
        <color rgb="FFFFFFFF"/>
        <rFont val="FreeSans"/>
        <family val="2"/>
      </rPr>
      <t xml:space="preserve">المنظور المالي </t>
    </r>
    <r>
      <rPr>
        <sz val="14"/>
        <color rgb="FFFFFFFF"/>
        <rFont val="29LT Azer Medium"/>
        <family val="0"/>
        <charset val="1"/>
      </rPr>
      <t xml:space="preserve">Financial Perspective</t>
    </r>
  </si>
  <si>
    <t xml:space="preserve">تنويع الإيرادات</t>
  </si>
  <si>
    <t xml:space="preserve">الإيرادات من غير المانحين</t>
  </si>
  <si>
    <r>
      <rPr>
        <sz val="11"/>
        <color rgb="FF000000"/>
        <rFont val="FreeSans"/>
        <family val="2"/>
      </rPr>
      <t xml:space="preserve">مبلغ </t>
    </r>
    <r>
      <rPr>
        <sz val="11"/>
        <color rgb="FF000000"/>
        <rFont val="Tajawal"/>
        <family val="0"/>
        <charset val="1"/>
      </rPr>
      <t xml:space="preserve">$ Amount</t>
    </r>
  </si>
  <si>
    <t xml:space="preserve">ضبط الإنفاق</t>
  </si>
  <si>
    <t xml:space="preserve">نسبة الالتزام بالموازنة</t>
  </si>
  <si>
    <r>
      <rPr>
        <b val="true"/>
        <sz val="11"/>
        <color rgb="FFFFFFFF"/>
        <rFont val="FreeSans"/>
        <family val="2"/>
      </rPr>
      <t xml:space="preserve">مؤشر الأداء الكلي للمؤسسة  </t>
    </r>
    <r>
      <rPr>
        <b val="true"/>
        <sz val="11"/>
        <color rgb="FFFFFFFF"/>
        <rFont val="Tajawal"/>
        <family val="0"/>
        <charset val="1"/>
      </rPr>
      <t xml:space="preserve">/  Overall Performance Index</t>
    </r>
  </si>
  <si>
    <r>
      <rPr>
        <sz val="16"/>
        <color rgb="FFFFFFFF"/>
        <rFont val="FreeSans"/>
        <family val="2"/>
      </rPr>
      <t xml:space="preserve">تقرير تنفيذ الخطة التشغيلية  </t>
    </r>
    <r>
      <rPr>
        <sz val="16"/>
        <color rgb="FFFFFFFF"/>
        <rFont val="29LT Azer Medium"/>
        <family val="0"/>
        <charset val="1"/>
      </rPr>
      <t xml:space="preserve">/  Operational Plan Implementation Report</t>
    </r>
  </si>
  <si>
    <r>
      <rPr>
        <b val="true"/>
        <sz val="12"/>
        <color rgb="FF000000"/>
        <rFont val="FreeSans"/>
        <family val="2"/>
      </rPr>
      <t xml:space="preserve">اسم المؤسسة
</t>
    </r>
    <r>
      <rPr>
        <b val="true"/>
        <sz val="12"/>
        <color rgb="FF000000"/>
        <rFont val="Tajawal"/>
        <family val="0"/>
        <charset val="1"/>
      </rPr>
      <t xml:space="preserve">Institution</t>
    </r>
  </si>
  <si>
    <r>
      <rPr>
        <b val="true"/>
        <sz val="12"/>
        <color rgb="FF000000"/>
        <rFont val="FreeSans"/>
        <family val="2"/>
      </rPr>
      <t xml:space="preserve">الفترة
</t>
    </r>
    <r>
      <rPr>
        <b val="true"/>
        <sz val="12"/>
        <color rgb="FF000000"/>
        <rFont val="Tajawal"/>
        <family val="0"/>
        <charset val="1"/>
      </rPr>
      <t xml:space="preserve">Period</t>
    </r>
  </si>
  <si>
    <r>
      <rPr>
        <sz val="10"/>
        <color rgb="FF595959"/>
        <rFont val="FreeSans"/>
        <family val="2"/>
      </rPr>
      <t xml:space="preserve">تُختار المؤسسة والفترة من رأس ورقة </t>
    </r>
    <r>
      <rPr>
        <sz val="10"/>
        <color rgb="FF595959"/>
        <rFont val="Tajawal"/>
        <family val="0"/>
        <charset val="1"/>
      </rPr>
      <t xml:space="preserve">KPI Tracking  /  Institution and period are selected in the KPI Tracking sheet</t>
    </r>
  </si>
  <si>
    <r>
      <rPr>
        <sz val="14"/>
        <color rgb="FFFFFFFF"/>
        <rFont val="FreeSans"/>
        <family val="2"/>
      </rPr>
      <t xml:space="preserve">سجل البرامج والأنشطة  </t>
    </r>
    <r>
      <rPr>
        <sz val="14"/>
        <color rgb="FFFFFFFF"/>
        <rFont val="29LT Azer Medium"/>
        <family val="0"/>
        <charset val="1"/>
      </rPr>
      <t xml:space="preserve">/  Programs &amp; Activities Register</t>
    </r>
  </si>
  <si>
    <r>
      <rPr>
        <sz val="11"/>
        <color rgb="FF000000"/>
        <rFont val="FreeSans"/>
        <family val="2"/>
      </rPr>
      <t xml:space="preserve">الفترة
</t>
    </r>
    <r>
      <rPr>
        <sz val="11"/>
        <color rgb="FF000000"/>
        <rFont val="Tajawal"/>
        <family val="0"/>
        <charset val="1"/>
      </rPr>
      <t xml:space="preserve">Period</t>
    </r>
  </si>
  <si>
    <r>
      <rPr>
        <sz val="11"/>
        <color rgb="FF000000"/>
        <rFont val="FreeSans"/>
        <family val="2"/>
      </rPr>
      <t xml:space="preserve">النوع
</t>
    </r>
    <r>
      <rPr>
        <sz val="11"/>
        <color rgb="FF000000"/>
        <rFont val="Tajawal"/>
        <family val="0"/>
        <charset val="1"/>
      </rPr>
      <t xml:space="preserve">Type</t>
    </r>
  </si>
  <si>
    <r>
      <rPr>
        <sz val="11"/>
        <color rgb="FF000000"/>
        <rFont val="FreeSans"/>
        <family val="2"/>
      </rPr>
      <t xml:space="preserve">البرنامج / النشاط
</t>
    </r>
    <r>
      <rPr>
        <sz val="11"/>
        <color rgb="FF000000"/>
        <rFont val="Tajawal"/>
        <family val="0"/>
        <charset val="1"/>
      </rPr>
      <t xml:space="preserve">Program / Activity</t>
    </r>
  </si>
  <si>
    <r>
      <rPr>
        <sz val="11"/>
        <color rgb="FF000000"/>
        <rFont val="FreeSans"/>
        <family val="2"/>
      </rPr>
      <t xml:space="preserve">الفئة المستهدفة
</t>
    </r>
    <r>
      <rPr>
        <sz val="11"/>
        <color rgb="FF000000"/>
        <rFont val="Tajawal"/>
        <family val="0"/>
        <charset val="1"/>
      </rPr>
      <t xml:space="preserve">Target Group</t>
    </r>
  </si>
  <si>
    <r>
      <rPr>
        <sz val="11"/>
        <color rgb="FF000000"/>
        <rFont val="FreeSans"/>
        <family val="2"/>
      </rPr>
      <t xml:space="preserve">الجهة المنفذة
</t>
    </r>
    <r>
      <rPr>
        <sz val="11"/>
        <color rgb="FF000000"/>
        <rFont val="Tajawal"/>
        <family val="0"/>
        <charset val="1"/>
      </rPr>
      <t xml:space="preserve">Implementer</t>
    </r>
  </si>
  <si>
    <r>
      <rPr>
        <sz val="11"/>
        <color rgb="FF000000"/>
        <rFont val="FreeSans"/>
        <family val="2"/>
      </rPr>
      <t xml:space="preserve">المستفيدون / المشاركون
</t>
    </r>
    <r>
      <rPr>
        <sz val="11"/>
        <color rgb="FF000000"/>
        <rFont val="Tajawal"/>
        <family val="0"/>
        <charset val="1"/>
      </rPr>
      <t xml:space="preserve">Beneficiaries / Participants</t>
    </r>
  </si>
  <si>
    <r>
      <rPr>
        <sz val="11"/>
        <color rgb="FF000000"/>
        <rFont val="FreeSans"/>
        <family val="2"/>
      </rPr>
      <t xml:space="preserve">المخطط
</t>
    </r>
    <r>
      <rPr>
        <sz val="11"/>
        <color rgb="FF000000"/>
        <rFont val="Tajawal"/>
        <family val="0"/>
        <charset val="1"/>
      </rPr>
      <t xml:space="preserve">Planned</t>
    </r>
  </si>
  <si>
    <r>
      <rPr>
        <sz val="11"/>
        <color rgb="FF000000"/>
        <rFont val="FreeSans"/>
        <family val="2"/>
      </rPr>
      <t xml:space="preserve">المنجز
</t>
    </r>
    <r>
      <rPr>
        <sz val="11"/>
        <color rgb="FF000000"/>
        <rFont val="Tajawal"/>
        <family val="0"/>
        <charset val="1"/>
      </rPr>
      <t xml:space="preserve">Achieved</t>
    </r>
  </si>
  <si>
    <r>
      <rPr>
        <sz val="11"/>
        <color rgb="FF000000"/>
        <rFont val="FreeSans"/>
        <family val="2"/>
      </rPr>
      <t xml:space="preserve">نسبة الإنجاز
</t>
    </r>
    <r>
      <rPr>
        <sz val="11"/>
        <color rgb="FF000000"/>
        <rFont val="Tajawal"/>
        <family val="0"/>
        <charset val="1"/>
      </rPr>
      <t xml:space="preserve">Achievement %</t>
    </r>
  </si>
  <si>
    <r>
      <rPr>
        <sz val="11"/>
        <color rgb="FF000000"/>
        <rFont val="FreeSans"/>
        <family val="2"/>
      </rPr>
      <t xml:space="preserve">كود المؤشر الداعم
</t>
    </r>
    <r>
      <rPr>
        <sz val="11"/>
        <color rgb="FF000000"/>
        <rFont val="Tajawal"/>
        <family val="0"/>
        <charset val="1"/>
      </rPr>
      <t xml:space="preserve">Supporting KPI Code</t>
    </r>
  </si>
  <si>
    <t xml:space="preserve">Q1</t>
  </si>
  <si>
    <r>
      <rPr>
        <sz val="11"/>
        <color rgb="FF000000"/>
        <rFont val="FreeSans"/>
        <family val="2"/>
      </rPr>
      <t xml:space="preserve">برنامج </t>
    </r>
    <r>
      <rPr>
        <sz val="11"/>
        <color rgb="FF000000"/>
        <rFont val="Tajawal"/>
        <family val="0"/>
        <charset val="1"/>
      </rPr>
      <t xml:space="preserve">/ </t>
    </r>
    <r>
      <rPr>
        <sz val="11"/>
        <color rgb="FF000000"/>
        <rFont val="FreeSans"/>
        <family val="2"/>
      </rPr>
      <t xml:space="preserve">مشروع </t>
    </r>
    <r>
      <rPr>
        <sz val="11"/>
        <color rgb="FF000000"/>
        <rFont val="Tajawal"/>
        <family val="0"/>
        <charset val="1"/>
      </rPr>
      <t xml:space="preserve">/ </t>
    </r>
    <r>
      <rPr>
        <sz val="11"/>
        <color rgb="FF000000"/>
        <rFont val="FreeSans"/>
        <family val="2"/>
      </rPr>
      <t xml:space="preserve">نشاط  </t>
    </r>
    <r>
      <rPr>
        <sz val="11"/>
        <color rgb="FF000000"/>
        <rFont val="Tajawal"/>
        <family val="0"/>
        <charset val="1"/>
      </rPr>
      <t xml:space="preserve">Program / Project / Activity</t>
    </r>
  </si>
  <si>
    <t xml:space="preserve">برنامج سبل العيش</t>
  </si>
  <si>
    <t xml:space="preserve">الأسر</t>
  </si>
  <si>
    <t xml:space="preserve">فريق البرامج</t>
  </si>
  <si>
    <t xml:space="preserve">ZF-S2</t>
  </si>
  <si>
    <r>
      <rPr>
        <sz val="11"/>
        <color rgb="FF000000"/>
        <rFont val="FreeSans"/>
        <family val="2"/>
      </rPr>
      <t xml:space="preserve">فعالية مجتمعية  </t>
    </r>
    <r>
      <rPr>
        <sz val="11"/>
        <color rgb="FF000000"/>
        <rFont val="Tajawal"/>
        <family val="0"/>
        <charset val="1"/>
      </rPr>
      <t xml:space="preserve">Community Event</t>
    </r>
  </si>
  <si>
    <t xml:space="preserve">يوم مجتمعي</t>
  </si>
  <si>
    <t xml:space="preserve">المجتمع المحلي</t>
  </si>
  <si>
    <t xml:space="preserve">العلاقات العامة</t>
  </si>
  <si>
    <t xml:space="preserve">ZF-S1</t>
  </si>
  <si>
    <r>
      <rPr>
        <sz val="11"/>
        <color rgb="FF000000"/>
        <rFont val="FreeSans"/>
        <family val="2"/>
      </rPr>
      <t xml:space="preserve">تدريب وبناء قدرات  </t>
    </r>
    <r>
      <rPr>
        <sz val="11"/>
        <color rgb="FF000000"/>
        <rFont val="Tajawal"/>
        <family val="0"/>
        <charset val="1"/>
      </rPr>
      <t xml:space="preserve">Training &amp; Capacity Building</t>
    </r>
  </si>
  <si>
    <t xml:space="preserve">دورة إدارة المشاريع</t>
  </si>
  <si>
    <t xml:space="preserve">الموظفون</t>
  </si>
  <si>
    <t xml:space="preserve">الموارد البشرية</t>
  </si>
  <si>
    <t xml:space="preserve">ZF-L2</t>
  </si>
  <si>
    <t xml:space="preserve">Q3</t>
  </si>
  <si>
    <t xml:space="preserve">دورة الحوكمة</t>
  </si>
  <si>
    <r>
      <rPr>
        <sz val="14"/>
        <color rgb="FFFFFFFF"/>
        <rFont val="FreeSans"/>
        <family val="2"/>
      </rPr>
      <t xml:space="preserve">الإجماليات حسب النوع  </t>
    </r>
    <r>
      <rPr>
        <sz val="14"/>
        <color rgb="FFFFFFFF"/>
        <rFont val="29LT Azer Medium"/>
        <family val="0"/>
        <charset val="1"/>
      </rPr>
      <t xml:space="preserve">/  Totals by Type</t>
    </r>
  </si>
  <si>
    <r>
      <rPr>
        <sz val="11"/>
        <color rgb="FF000000"/>
        <rFont val="FreeSans"/>
        <family val="2"/>
      </rPr>
      <t xml:space="preserve">البند  </t>
    </r>
    <r>
      <rPr>
        <sz val="11"/>
        <color rgb="FF000000"/>
        <rFont val="Tajawal"/>
        <family val="0"/>
        <charset val="1"/>
      </rPr>
      <t xml:space="preserve">/  Item</t>
    </r>
  </si>
  <si>
    <r>
      <rPr>
        <sz val="10"/>
        <color rgb="FF000000"/>
        <rFont val="FreeSans"/>
        <family val="2"/>
      </rPr>
      <t xml:space="preserve">الفترة المختارة  </t>
    </r>
    <r>
      <rPr>
        <sz val="10"/>
        <color rgb="FF000000"/>
        <rFont val="Tajawal"/>
        <family val="0"/>
        <charset val="1"/>
      </rPr>
      <t xml:space="preserve">/  Selected Period:  </t>
    </r>
    <r>
      <rPr>
        <sz val="10"/>
        <color rgb="FF000000"/>
        <rFont val="FreeSans"/>
        <family val="2"/>
      </rPr>
      <t xml:space="preserve">برنامج </t>
    </r>
    <r>
      <rPr>
        <sz val="10"/>
        <color rgb="FF000000"/>
        <rFont val="Tajawal"/>
        <family val="0"/>
        <charset val="1"/>
      </rPr>
      <t xml:space="preserve">/ </t>
    </r>
    <r>
      <rPr>
        <sz val="10"/>
        <color rgb="FF000000"/>
        <rFont val="FreeSans"/>
        <family val="2"/>
      </rPr>
      <t xml:space="preserve">مشروع </t>
    </r>
    <r>
      <rPr>
        <sz val="10"/>
        <color rgb="FF000000"/>
        <rFont val="Tajawal"/>
        <family val="0"/>
        <charset val="1"/>
      </rPr>
      <t xml:space="preserve">/ </t>
    </r>
    <r>
      <rPr>
        <sz val="10"/>
        <color rgb="FF000000"/>
        <rFont val="FreeSans"/>
        <family val="2"/>
      </rPr>
      <t xml:space="preserve">نشاط — </t>
    </r>
    <r>
      <rPr>
        <sz val="10"/>
        <color rgb="FF000000"/>
        <rFont val="Tajawal"/>
        <family val="0"/>
        <charset val="1"/>
      </rPr>
      <t xml:space="preserve">Program / Project / Activity</t>
    </r>
  </si>
  <si>
    <r>
      <rPr>
        <sz val="10"/>
        <color rgb="FF000000"/>
        <rFont val="FreeSans"/>
        <family val="2"/>
      </rPr>
      <t xml:space="preserve">الفترة المختارة  </t>
    </r>
    <r>
      <rPr>
        <sz val="10"/>
        <color rgb="FF000000"/>
        <rFont val="Tajawal"/>
        <family val="0"/>
        <charset val="1"/>
      </rPr>
      <t xml:space="preserve">/  Selected Period:  </t>
    </r>
    <r>
      <rPr>
        <sz val="10"/>
        <color rgb="FF000000"/>
        <rFont val="FreeSans"/>
        <family val="2"/>
      </rPr>
      <t xml:space="preserve">فعالية مجتمعية — </t>
    </r>
    <r>
      <rPr>
        <sz val="10"/>
        <color rgb="FF000000"/>
        <rFont val="Tajawal"/>
        <family val="0"/>
        <charset val="1"/>
      </rPr>
      <t xml:space="preserve">Community Event</t>
    </r>
  </si>
  <si>
    <r>
      <rPr>
        <sz val="10"/>
        <color rgb="FF000000"/>
        <rFont val="FreeSans"/>
        <family val="2"/>
      </rPr>
      <t xml:space="preserve">الفترة المختارة  </t>
    </r>
    <r>
      <rPr>
        <sz val="10"/>
        <color rgb="FF000000"/>
        <rFont val="Tajawal"/>
        <family val="0"/>
        <charset val="1"/>
      </rPr>
      <t xml:space="preserve">/  Selected Period:  </t>
    </r>
    <r>
      <rPr>
        <sz val="10"/>
        <color rgb="FF000000"/>
        <rFont val="FreeSans"/>
        <family val="2"/>
      </rPr>
      <t xml:space="preserve">تدريب وبناء قدرات — </t>
    </r>
    <r>
      <rPr>
        <sz val="10"/>
        <color rgb="FF000000"/>
        <rFont val="Tajawal"/>
        <family val="0"/>
        <charset val="1"/>
      </rPr>
      <t xml:space="preserve">Training &amp; Capacity Building</t>
    </r>
  </si>
  <si>
    <r>
      <rPr>
        <b val="true"/>
        <sz val="10"/>
        <color rgb="FFFFFFFF"/>
        <rFont val="FreeSans"/>
        <family val="2"/>
      </rPr>
      <t xml:space="preserve">الفترة المختارة  </t>
    </r>
    <r>
      <rPr>
        <b val="true"/>
        <sz val="10"/>
        <color rgb="FFFFFFFF"/>
        <rFont val="Tajawal"/>
        <family val="0"/>
        <charset val="1"/>
      </rPr>
      <t xml:space="preserve">/  Selected Period:  </t>
    </r>
    <r>
      <rPr>
        <b val="true"/>
        <sz val="10"/>
        <color rgb="FFFFFFFF"/>
        <rFont val="FreeSans"/>
        <family val="2"/>
      </rPr>
      <t xml:space="preserve">الإجمالي  </t>
    </r>
    <r>
      <rPr>
        <b val="true"/>
        <sz val="10"/>
        <color rgb="FFFFFFFF"/>
        <rFont val="Tajawal"/>
        <family val="0"/>
        <charset val="1"/>
      </rPr>
      <t xml:space="preserve">/  Total</t>
    </r>
  </si>
  <si>
    <r>
      <rPr>
        <sz val="10"/>
        <color rgb="FF000000"/>
        <rFont val="FreeSans"/>
        <family val="2"/>
      </rPr>
      <t xml:space="preserve">السنة كاملة  </t>
    </r>
    <r>
      <rPr>
        <sz val="10"/>
        <color rgb="FF000000"/>
        <rFont val="Tajawal"/>
        <family val="0"/>
        <charset val="1"/>
      </rPr>
      <t xml:space="preserve">/  Full Year:  </t>
    </r>
    <r>
      <rPr>
        <sz val="10"/>
        <color rgb="FF000000"/>
        <rFont val="FreeSans"/>
        <family val="2"/>
      </rPr>
      <t xml:space="preserve">برنامج </t>
    </r>
    <r>
      <rPr>
        <sz val="10"/>
        <color rgb="FF000000"/>
        <rFont val="Tajawal"/>
        <family val="0"/>
        <charset val="1"/>
      </rPr>
      <t xml:space="preserve">/ </t>
    </r>
    <r>
      <rPr>
        <sz val="10"/>
        <color rgb="FF000000"/>
        <rFont val="FreeSans"/>
        <family val="2"/>
      </rPr>
      <t xml:space="preserve">مشروع </t>
    </r>
    <r>
      <rPr>
        <sz val="10"/>
        <color rgb="FF000000"/>
        <rFont val="Tajawal"/>
        <family val="0"/>
        <charset val="1"/>
      </rPr>
      <t xml:space="preserve">/ </t>
    </r>
    <r>
      <rPr>
        <sz val="10"/>
        <color rgb="FF000000"/>
        <rFont val="FreeSans"/>
        <family val="2"/>
      </rPr>
      <t xml:space="preserve">نشاط — </t>
    </r>
    <r>
      <rPr>
        <sz val="10"/>
        <color rgb="FF000000"/>
        <rFont val="Tajawal"/>
        <family val="0"/>
        <charset val="1"/>
      </rPr>
      <t xml:space="preserve">Program / Project / Activity</t>
    </r>
  </si>
  <si>
    <r>
      <rPr>
        <sz val="10"/>
        <color rgb="FF000000"/>
        <rFont val="FreeSans"/>
        <family val="2"/>
      </rPr>
      <t xml:space="preserve">السنة كاملة  </t>
    </r>
    <r>
      <rPr>
        <sz val="10"/>
        <color rgb="FF000000"/>
        <rFont val="Tajawal"/>
        <family val="0"/>
        <charset val="1"/>
      </rPr>
      <t xml:space="preserve">/  Full Year:  </t>
    </r>
    <r>
      <rPr>
        <sz val="10"/>
        <color rgb="FF000000"/>
        <rFont val="FreeSans"/>
        <family val="2"/>
      </rPr>
      <t xml:space="preserve">فعالية مجتمعية — </t>
    </r>
    <r>
      <rPr>
        <sz val="10"/>
        <color rgb="FF000000"/>
        <rFont val="Tajawal"/>
        <family val="0"/>
        <charset val="1"/>
      </rPr>
      <t xml:space="preserve">Community Event</t>
    </r>
  </si>
  <si>
    <r>
      <rPr>
        <sz val="10"/>
        <color rgb="FF000000"/>
        <rFont val="FreeSans"/>
        <family val="2"/>
      </rPr>
      <t xml:space="preserve">السنة كاملة  </t>
    </r>
    <r>
      <rPr>
        <sz val="10"/>
        <color rgb="FF000000"/>
        <rFont val="Tajawal"/>
        <family val="0"/>
        <charset val="1"/>
      </rPr>
      <t xml:space="preserve">/  Full Year:  </t>
    </r>
    <r>
      <rPr>
        <sz val="10"/>
        <color rgb="FF000000"/>
        <rFont val="FreeSans"/>
        <family val="2"/>
      </rPr>
      <t xml:space="preserve">تدريب وبناء قدرات — </t>
    </r>
    <r>
      <rPr>
        <sz val="10"/>
        <color rgb="FF000000"/>
        <rFont val="Tajawal"/>
        <family val="0"/>
        <charset val="1"/>
      </rPr>
      <t xml:space="preserve">Training &amp; Capacity Building</t>
    </r>
  </si>
  <si>
    <r>
      <rPr>
        <b val="true"/>
        <sz val="10"/>
        <color rgb="FFFFFFFF"/>
        <rFont val="FreeSans"/>
        <family val="2"/>
      </rPr>
      <t xml:space="preserve">السنة كاملة  </t>
    </r>
    <r>
      <rPr>
        <b val="true"/>
        <sz val="10"/>
        <color rgb="FFFFFFFF"/>
        <rFont val="Tajawal"/>
        <family val="0"/>
        <charset val="1"/>
      </rPr>
      <t xml:space="preserve">/  Full Year:  </t>
    </r>
    <r>
      <rPr>
        <b val="true"/>
        <sz val="10"/>
        <color rgb="FFFFFFFF"/>
        <rFont val="FreeSans"/>
        <family val="2"/>
      </rPr>
      <t xml:space="preserve">الإجمالي  </t>
    </r>
    <r>
      <rPr>
        <b val="true"/>
        <sz val="10"/>
        <color rgb="FFFFFFFF"/>
        <rFont val="Tajawal"/>
        <family val="0"/>
        <charset val="1"/>
      </rPr>
      <t xml:space="preserve">/  Total</t>
    </r>
  </si>
  <si>
    <r>
      <rPr>
        <sz val="16"/>
        <color rgb="FFFFFFFF"/>
        <rFont val="FreeSans"/>
        <family val="2"/>
      </rPr>
      <t xml:space="preserve">تقرير الأداء الربعي والسنوي </t>
    </r>
    <r>
      <rPr>
        <sz val="16"/>
        <color rgb="FFFFFFFF"/>
        <rFont val="29LT Azer Medium"/>
        <family val="0"/>
        <charset val="1"/>
      </rPr>
      <t xml:space="preserve">Quarterly &amp; Annual Performance Report</t>
    </r>
  </si>
  <si>
    <r>
      <rPr>
        <sz val="12"/>
        <rFont val="FreeSans"/>
        <family val="2"/>
      </rPr>
      <t xml:space="preserve">اسم المؤسسة 
</t>
    </r>
    <r>
      <rPr>
        <sz val="12"/>
        <rFont val="Tajawal"/>
        <family val="0"/>
        <charset val="1"/>
      </rPr>
      <t xml:space="preserve">Name of the institution</t>
    </r>
  </si>
  <si>
    <r>
      <rPr>
        <sz val="12"/>
        <color theme="1"/>
        <rFont val="FreeSans"/>
        <family val="2"/>
      </rPr>
      <t xml:space="preserve">الفترة </t>
    </r>
    <r>
      <rPr>
        <sz val="12"/>
        <color theme="1"/>
        <rFont val="Tajawal"/>
        <family val="0"/>
        <charset val="1"/>
      </rPr>
      <t xml:space="preserve">Period</t>
    </r>
  </si>
  <si>
    <r>
      <rPr>
        <sz val="12"/>
        <color theme="1"/>
        <rFont val="FreeSans"/>
        <family val="2"/>
      </rPr>
      <t xml:space="preserve">معدّ التقرير
 </t>
    </r>
    <r>
      <rPr>
        <sz val="12"/>
        <color theme="1"/>
        <rFont val="Tajawal"/>
        <family val="0"/>
        <charset val="1"/>
      </rPr>
      <t xml:space="preserve">Report writer</t>
    </r>
  </si>
  <si>
    <r>
      <rPr>
        <sz val="12"/>
        <color theme="1"/>
        <rFont val="FreeSans"/>
        <family val="2"/>
      </rPr>
      <t xml:space="preserve">مراجعة واعتماد
 </t>
    </r>
    <r>
      <rPr>
        <sz val="12"/>
        <color theme="1"/>
        <rFont val="Tajawal"/>
        <family val="0"/>
        <charset val="1"/>
      </rPr>
      <t xml:space="preserve">Review and approval</t>
    </r>
  </si>
  <si>
    <r>
      <rPr>
        <sz val="16"/>
        <color rgb="FFFFFFFF"/>
        <rFont val="FreeSans"/>
        <family val="2"/>
      </rPr>
      <t xml:space="preserve">الملخص التنفيذي </t>
    </r>
    <r>
      <rPr>
        <sz val="16"/>
        <color rgb="FFFFFFFF"/>
        <rFont val="29LT Azer Medium"/>
        <family val="0"/>
        <charset val="1"/>
      </rPr>
      <t xml:space="preserve">Executive Summary</t>
    </r>
  </si>
  <si>
    <r>
      <rPr>
        <sz val="11"/>
        <color theme="1"/>
        <rFont val="FreeSans"/>
        <family val="2"/>
      </rPr>
      <t xml:space="preserve">ملخص تنفيذي تجريبي للربع الثاني</t>
    </r>
    <r>
      <rPr>
        <sz val="11"/>
        <color theme="1"/>
        <rFont val="Calibri"/>
        <family val="2"/>
        <charset val="1"/>
      </rPr>
      <t xml:space="preserve">.</t>
    </r>
  </si>
  <si>
    <r>
      <rPr>
        <sz val="14"/>
        <color rgb="FFFFFFFF"/>
        <rFont val="FreeSans"/>
        <family val="2"/>
      </rPr>
      <t xml:space="preserve">نتيجة مؤشرات الأداء الرئيسية  </t>
    </r>
    <r>
      <rPr>
        <sz val="14"/>
        <color rgb="FFFFFFFF"/>
        <rFont val="29LT Azer Medium"/>
        <family val="0"/>
        <charset val="1"/>
      </rPr>
      <t xml:space="preserve">/  KPI Overall Result</t>
    </r>
  </si>
  <si>
    <r>
      <rPr>
        <sz val="12"/>
        <rFont val="FreeSans"/>
        <family val="2"/>
      </rPr>
      <t xml:space="preserve">المنظور
</t>
    </r>
    <r>
      <rPr>
        <sz val="12"/>
        <rFont val="Tajawal"/>
        <family val="0"/>
        <charset val="1"/>
      </rPr>
      <t xml:space="preserve">Perspective</t>
    </r>
  </si>
  <si>
    <r>
      <rPr>
        <sz val="12"/>
        <rFont val="FreeSans"/>
        <family val="2"/>
      </rPr>
      <t xml:space="preserve">الوزن </t>
    </r>
    <r>
      <rPr>
        <sz val="12"/>
        <rFont val="Tajawal"/>
        <family val="0"/>
        <charset val="1"/>
      </rPr>
      <t xml:space="preserve">%
Weight %</t>
    </r>
  </si>
  <si>
    <r>
      <rPr>
        <sz val="12"/>
        <rFont val="FreeSans"/>
        <family val="2"/>
      </rPr>
      <t xml:space="preserve">الدرجة المحققة
</t>
    </r>
    <r>
      <rPr>
        <sz val="12"/>
        <rFont val="Tajawal"/>
        <family val="0"/>
        <charset val="1"/>
      </rPr>
      <t xml:space="preserve">Score Achieved</t>
    </r>
  </si>
  <si>
    <r>
      <rPr>
        <sz val="12"/>
        <rFont val="FreeSans"/>
        <family val="2"/>
      </rPr>
      <t xml:space="preserve">الدرجة المرجحة
</t>
    </r>
    <r>
      <rPr>
        <sz val="12"/>
        <rFont val="Tajawal"/>
        <family val="0"/>
        <charset val="1"/>
      </rPr>
      <t xml:space="preserve">Weighted Score</t>
    </r>
  </si>
  <si>
    <r>
      <rPr>
        <sz val="12"/>
        <rFont val="FreeSans"/>
        <family val="2"/>
      </rPr>
      <t xml:space="preserve">التقييم
</t>
    </r>
    <r>
      <rPr>
        <sz val="12"/>
        <rFont val="Tajawal"/>
        <family val="0"/>
        <charset val="1"/>
      </rPr>
      <t xml:space="preserve">Rating</t>
    </r>
  </si>
  <si>
    <r>
      <rPr>
        <sz val="12"/>
        <rFont val="FreeSans"/>
        <family val="2"/>
      </rPr>
      <t xml:space="preserve">ملاحظات
</t>
    </r>
    <r>
      <rPr>
        <sz val="12"/>
        <rFont val="Tajawal"/>
        <family val="0"/>
        <charset val="1"/>
      </rPr>
      <t xml:space="preserve">Notes</t>
    </r>
  </si>
  <si>
    <r>
      <rPr>
        <sz val="11"/>
        <color rgb="FF212121"/>
        <rFont val="FreeSans"/>
        <family val="2"/>
      </rPr>
      <t xml:space="preserve">منظور أصحاب المصلحة </t>
    </r>
    <r>
      <rPr>
        <sz val="11"/>
        <color rgb="FF212121"/>
        <rFont val="Tajawal"/>
        <family val="0"/>
        <charset val="1"/>
      </rPr>
      <t xml:space="preserve">Stakeholder Perspective</t>
    </r>
  </si>
  <si>
    <r>
      <rPr>
        <sz val="11"/>
        <color rgb="FF212121"/>
        <rFont val="FreeSans"/>
        <family val="2"/>
      </rPr>
      <t xml:space="preserve">العمليات الداخلية </t>
    </r>
    <r>
      <rPr>
        <sz val="11"/>
        <color rgb="FF212121"/>
        <rFont val="Tajawal"/>
        <family val="0"/>
        <charset val="1"/>
      </rPr>
      <t xml:space="preserve">Internal Processes</t>
    </r>
  </si>
  <si>
    <r>
      <rPr>
        <sz val="11"/>
        <color rgb="FF212121"/>
        <rFont val="FreeSans"/>
        <family val="2"/>
      </rPr>
      <t xml:space="preserve">التعلم والنمو </t>
    </r>
    <r>
      <rPr>
        <sz val="11"/>
        <color rgb="FF212121"/>
        <rFont val="Tajawal"/>
        <family val="0"/>
        <charset val="1"/>
      </rPr>
      <t xml:space="preserve">Learning &amp; Growth</t>
    </r>
  </si>
  <si>
    <r>
      <rPr>
        <sz val="11"/>
        <color rgb="FF212121"/>
        <rFont val="FreeSans"/>
        <family val="2"/>
      </rPr>
      <t xml:space="preserve">المنظور المالي </t>
    </r>
    <r>
      <rPr>
        <sz val="11"/>
        <color rgb="FF212121"/>
        <rFont val="Tajawal"/>
        <family val="0"/>
        <charset val="1"/>
      </rPr>
      <t xml:space="preserve">Financial Perspective</t>
    </r>
  </si>
  <si>
    <r>
      <rPr>
        <b val="true"/>
        <sz val="10"/>
        <color rgb="FFFFFFFF"/>
        <rFont val="FreeSans"/>
        <family val="2"/>
      </rPr>
      <t xml:space="preserve">الدرجة الإجمالية  </t>
    </r>
    <r>
      <rPr>
        <b val="true"/>
        <sz val="10"/>
        <color rgb="FFFFFFFF"/>
        <rFont val="Tajawal"/>
        <family val="0"/>
        <charset val="1"/>
      </rPr>
      <t xml:space="preserve">/  Overall Score</t>
    </r>
  </si>
  <si>
    <r>
      <rPr>
        <sz val="14"/>
        <color rgb="FFFFFFFF"/>
        <rFont val="FreeSans"/>
        <family val="2"/>
      </rPr>
      <t xml:space="preserve">ملخص الخطة التشغيلية  </t>
    </r>
    <r>
      <rPr>
        <sz val="14"/>
        <color rgb="FFFFFFFF"/>
        <rFont val="29LT Azer Medium"/>
        <family val="0"/>
        <charset val="1"/>
      </rPr>
      <t xml:space="preserve">/  Operational Plan Summary</t>
    </r>
  </si>
  <si>
    <r>
      <rPr>
        <sz val="12"/>
        <rFont val="FreeSans"/>
        <family val="2"/>
      </rPr>
      <t xml:space="preserve">البيان </t>
    </r>
    <r>
      <rPr>
        <sz val="12"/>
        <rFont val="Tajawal"/>
        <family val="0"/>
        <charset val="1"/>
      </rPr>
      <t xml:space="preserve">Item</t>
    </r>
  </si>
  <si>
    <r>
      <rPr>
        <sz val="12"/>
        <rFont val="FreeSans"/>
        <family val="2"/>
      </rPr>
      <t xml:space="preserve">المخطط </t>
    </r>
    <r>
      <rPr>
        <sz val="12"/>
        <rFont val="Tajawal"/>
        <family val="0"/>
        <charset val="1"/>
      </rPr>
      <t xml:space="preserve">Planned</t>
    </r>
  </si>
  <si>
    <r>
      <rPr>
        <sz val="12"/>
        <rFont val="FreeSans"/>
        <family val="2"/>
      </rPr>
      <t xml:space="preserve">المنجز </t>
    </r>
    <r>
      <rPr>
        <sz val="12"/>
        <rFont val="Tajawal"/>
        <family val="0"/>
        <charset val="1"/>
      </rPr>
      <t xml:space="preserve">Achieved</t>
    </r>
  </si>
  <si>
    <r>
      <rPr>
        <sz val="12"/>
        <rFont val="FreeSans"/>
        <family val="2"/>
      </rPr>
      <t xml:space="preserve">نسبة الإنجاز </t>
    </r>
    <r>
      <rPr>
        <sz val="12"/>
        <rFont val="Tajawal"/>
        <family val="0"/>
        <charset val="1"/>
      </rPr>
      <t xml:space="preserve">Achievement %</t>
    </r>
  </si>
  <si>
    <r>
      <rPr>
        <sz val="12"/>
        <rFont val="FreeSans"/>
        <family val="2"/>
      </rPr>
      <t xml:space="preserve">التقييم </t>
    </r>
    <r>
      <rPr>
        <sz val="12"/>
        <rFont val="Tajawal"/>
        <family val="0"/>
        <charset val="1"/>
      </rPr>
      <t xml:space="preserve">Rating</t>
    </r>
  </si>
  <si>
    <r>
      <rPr>
        <sz val="12"/>
        <rFont val="FreeSans"/>
        <family val="2"/>
      </rPr>
      <t xml:space="preserve">الملاحظة </t>
    </r>
    <r>
      <rPr>
        <sz val="12"/>
        <rFont val="Tajawal"/>
        <family val="0"/>
        <charset val="1"/>
      </rPr>
      <t xml:space="preserve">Note</t>
    </r>
  </si>
  <si>
    <r>
      <rPr>
        <sz val="11"/>
        <color rgb="FF212121"/>
        <rFont val="FreeSans"/>
        <family val="2"/>
      </rPr>
      <t xml:space="preserve">البرامج والمشاريع والأنشطة المنفذة </t>
    </r>
    <r>
      <rPr>
        <sz val="11"/>
        <color rgb="FF212121"/>
        <rFont val="Tajawal"/>
        <family val="0"/>
        <charset val="1"/>
      </rPr>
      <t xml:space="preserve">| Programs/Projects/Activities</t>
    </r>
  </si>
  <si>
    <r>
      <rPr>
        <sz val="11"/>
        <color rgb="FF212121"/>
        <rFont val="FreeSans"/>
        <family val="2"/>
      </rPr>
      <t xml:space="preserve">المستفيدون الفعليون </t>
    </r>
    <r>
      <rPr>
        <sz val="11"/>
        <color rgb="FF212121"/>
        <rFont val="Tajawal"/>
        <family val="0"/>
        <charset val="1"/>
      </rPr>
      <t xml:space="preserve">| Beneficiaries Reached</t>
    </r>
  </si>
  <si>
    <r>
      <rPr>
        <sz val="11"/>
        <color rgb="FF212121"/>
        <rFont val="FreeSans"/>
        <family val="2"/>
      </rPr>
      <t xml:space="preserve">الفعاليات والأنشطة المجتمعية  </t>
    </r>
    <r>
      <rPr>
        <sz val="11"/>
        <color rgb="FF212121"/>
        <rFont val="Tajawal"/>
        <family val="0"/>
        <charset val="1"/>
      </rPr>
      <t xml:space="preserve">|  Events &amp; Engagement</t>
    </r>
  </si>
  <si>
    <r>
      <rPr>
        <sz val="11"/>
        <color rgb="FF222222"/>
        <rFont val="FreeSans"/>
        <family val="2"/>
      </rPr>
      <t xml:space="preserve">برامج التطوير وبناء القدرات </t>
    </r>
    <r>
      <rPr>
        <sz val="11"/>
        <color rgb="FF222222"/>
        <rFont val="Tajawal"/>
        <family val="0"/>
        <charset val="1"/>
      </rPr>
      <t xml:space="preserve">| 
 Capacity &amp; Development Programs</t>
    </r>
  </si>
  <si>
    <r>
      <rPr>
        <sz val="14"/>
        <color rgb="FFFFFFFF"/>
        <rFont val="FreeSans"/>
        <family val="2"/>
      </rPr>
      <t xml:space="preserve">الإحصاءات السنوية والمقارنة </t>
    </r>
    <r>
      <rPr>
        <sz val="14"/>
        <color rgb="FFFFFFFF"/>
        <rFont val="29LT Azer Medium"/>
        <family val="0"/>
        <charset val="1"/>
      </rPr>
      <t xml:space="preserve">| ANNUAL STATISTICS &amp; COMPARISON</t>
    </r>
  </si>
  <si>
    <r>
      <rPr>
        <sz val="12"/>
        <rFont val="FreeSans"/>
        <family val="2"/>
      </rPr>
      <t xml:space="preserve">الفئة </t>
    </r>
    <r>
      <rPr>
        <sz val="12"/>
        <rFont val="Tajawal"/>
        <family val="0"/>
        <charset val="1"/>
      </rPr>
      <t xml:space="preserve">| Category</t>
    </r>
  </si>
  <si>
    <r>
      <rPr>
        <sz val="12"/>
        <rFont val="FreeSans"/>
        <family val="2"/>
      </rPr>
      <t xml:space="preserve">السنة السابقة </t>
    </r>
    <r>
      <rPr>
        <sz val="12"/>
        <rFont val="Tajawal"/>
        <family val="0"/>
        <charset val="1"/>
      </rPr>
      <t xml:space="preserve">| Previous Year</t>
    </r>
  </si>
  <si>
    <r>
      <rPr>
        <sz val="12"/>
        <rFont val="FreeSans"/>
        <family val="2"/>
      </rPr>
      <t xml:space="preserve">السنة الحالية </t>
    </r>
    <r>
      <rPr>
        <sz val="12"/>
        <rFont val="Tajawal"/>
        <family val="0"/>
        <charset val="1"/>
      </rPr>
      <t xml:space="preserve">| Current Year</t>
    </r>
  </si>
  <si>
    <r>
      <rPr>
        <sz val="12"/>
        <rFont val="FreeSans"/>
        <family val="2"/>
      </rPr>
      <t xml:space="preserve">نسبة التغير </t>
    </r>
    <r>
      <rPr>
        <sz val="12"/>
        <rFont val="Tajawal"/>
        <family val="0"/>
        <charset val="1"/>
      </rPr>
      <t xml:space="preserve">| Change %</t>
    </r>
  </si>
  <si>
    <r>
      <rPr>
        <sz val="11"/>
        <color rgb="FF222222"/>
        <rFont val="FreeSans"/>
        <family val="2"/>
      </rPr>
      <t xml:space="preserve">عدد الطلاب</t>
    </r>
    <r>
      <rPr>
        <sz val="11"/>
        <color rgb="FF222222"/>
        <rFont val="Tajawal"/>
        <family val="0"/>
        <charset val="1"/>
      </rPr>
      <t xml:space="preserve">/</t>
    </r>
    <r>
      <rPr>
        <sz val="11"/>
        <color rgb="FF222222"/>
        <rFont val="FreeSans"/>
        <family val="2"/>
      </rPr>
      <t xml:space="preserve">المستفيدين </t>
    </r>
    <r>
      <rPr>
        <sz val="11"/>
        <color rgb="FF222222"/>
        <rFont val="Tajawal"/>
        <family val="0"/>
        <charset val="1"/>
      </rPr>
      <t xml:space="preserve">| Students/Beneficiaries</t>
    </r>
  </si>
  <si>
    <r>
      <rPr>
        <sz val="11"/>
        <color rgb="FF222222"/>
        <rFont val="FreeSans"/>
        <family val="2"/>
      </rPr>
      <t xml:space="preserve">عدد الموظفين</t>
    </r>
    <r>
      <rPr>
        <sz val="11"/>
        <color rgb="FF222222"/>
        <rFont val="Tajawal"/>
        <family val="0"/>
        <charset val="1"/>
      </rPr>
      <t xml:space="preserve">/</t>
    </r>
    <r>
      <rPr>
        <sz val="11"/>
        <color rgb="FF222222"/>
        <rFont val="FreeSans"/>
        <family val="2"/>
      </rPr>
      <t xml:space="preserve">الكادر </t>
    </r>
    <r>
      <rPr>
        <sz val="11"/>
        <color rgb="FF222222"/>
        <rFont val="Tajawal"/>
        <family val="0"/>
        <charset val="1"/>
      </rPr>
      <t xml:space="preserve">| Staff</t>
    </r>
  </si>
  <si>
    <r>
      <rPr>
        <sz val="11"/>
        <color rgb="FF222222"/>
        <rFont val="FreeSans"/>
        <family val="2"/>
      </rPr>
      <t xml:space="preserve">عدد الخريجين</t>
    </r>
    <r>
      <rPr>
        <sz val="11"/>
        <color rgb="FF222222"/>
        <rFont val="Tajawal"/>
        <family val="0"/>
        <charset val="1"/>
      </rPr>
      <t xml:space="preserve">/</t>
    </r>
    <r>
      <rPr>
        <sz val="11"/>
        <color rgb="FF222222"/>
        <rFont val="FreeSans"/>
        <family val="2"/>
      </rPr>
      <t xml:space="preserve">المشاركين الذين أكملوا البرامج</t>
    </r>
    <r>
      <rPr>
        <sz val="11"/>
        <color rgb="FF222222"/>
        <rFont val="Tajawal"/>
        <family val="0"/>
        <charset val="1"/>
      </rPr>
      <t xml:space="preserve">| Number of Graduates/Participants Completing Programs</t>
    </r>
  </si>
  <si>
    <r>
      <rPr>
        <sz val="11"/>
        <color rgb="FF222222"/>
        <rFont val="FreeSans"/>
        <family val="2"/>
      </rPr>
      <t xml:space="preserve">عدد الشراكات</t>
    </r>
    <r>
      <rPr>
        <sz val="11"/>
        <color rgb="FF222222"/>
        <rFont val="Tajawal"/>
        <family val="0"/>
        <charset val="1"/>
      </rPr>
      <t xml:space="preserve">/</t>
    </r>
    <r>
      <rPr>
        <sz val="11"/>
        <color rgb="FF222222"/>
        <rFont val="FreeSans"/>
        <family val="2"/>
      </rPr>
      <t xml:space="preserve">الفعاليات </t>
    </r>
    <r>
      <rPr>
        <sz val="11"/>
        <color rgb="FF222222"/>
        <rFont val="Tajawal"/>
        <family val="0"/>
        <charset val="1"/>
      </rPr>
      <t xml:space="preserve">| Partnerships/Events</t>
    </r>
  </si>
  <si>
    <r>
      <rPr>
        <sz val="11"/>
        <color rgb="FF212121"/>
        <rFont val="FreeSans"/>
        <family val="2"/>
      </rPr>
      <t xml:space="preserve">الميزانية التشغيلية </t>
    </r>
    <r>
      <rPr>
        <sz val="11"/>
        <color rgb="FF212121"/>
        <rFont val="Tajawal"/>
        <family val="0"/>
        <charset val="1"/>
      </rPr>
      <t xml:space="preserve">Operating Budget</t>
    </r>
  </si>
  <si>
    <r>
      <rPr>
        <sz val="14"/>
        <color rgb="FFFFFFFF"/>
        <rFont val="FreeSans"/>
        <family val="2"/>
      </rPr>
      <t xml:space="preserve">أبرز الإنجازات  </t>
    </r>
    <r>
      <rPr>
        <sz val="14"/>
        <color rgb="FFFFFFFF"/>
        <rFont val="29LT Azer Medium"/>
        <family val="0"/>
        <charset val="1"/>
      </rPr>
      <t xml:space="preserve">/  Key Achievements</t>
    </r>
  </si>
  <si>
    <r>
      <rPr>
        <sz val="12"/>
        <rFont val="FreeSans"/>
        <family val="2"/>
      </rPr>
      <t xml:space="preserve">الإنجاز </t>
    </r>
    <r>
      <rPr>
        <sz val="12"/>
        <rFont val="Tajawal"/>
        <family val="0"/>
        <charset val="1"/>
      </rPr>
      <t xml:space="preserve">Achievement</t>
    </r>
  </si>
  <si>
    <r>
      <rPr>
        <sz val="12"/>
        <rFont val="FreeSans"/>
        <family val="2"/>
      </rPr>
      <t xml:space="preserve">المجال </t>
    </r>
    <r>
      <rPr>
        <sz val="12"/>
        <rFont val="Tajawal"/>
        <family val="0"/>
        <charset val="1"/>
      </rPr>
      <t xml:space="preserve">Area</t>
    </r>
  </si>
  <si>
    <r>
      <rPr>
        <sz val="12"/>
        <rFont val="FreeSans"/>
        <family val="2"/>
      </rPr>
      <t xml:space="preserve">الأثر </t>
    </r>
    <r>
      <rPr>
        <sz val="12"/>
        <rFont val="Tajawal"/>
        <family val="0"/>
        <charset val="1"/>
      </rPr>
      <t xml:space="preserve">Impact</t>
    </r>
  </si>
  <si>
    <r>
      <rPr>
        <sz val="12"/>
        <rFont val="FreeSans"/>
        <family val="2"/>
      </rPr>
      <t xml:space="preserve">كود المؤشر الداعم </t>
    </r>
    <r>
      <rPr>
        <sz val="12"/>
        <rFont val="Tajawal"/>
        <family val="0"/>
        <charset val="1"/>
      </rPr>
      <t xml:space="preserve">Supporting KPI Code</t>
    </r>
  </si>
  <si>
    <t xml:space="preserve">إطلاق برنامج سبل العيش</t>
  </si>
  <si>
    <t xml:space="preserve">البرامج</t>
  </si>
  <si>
    <r>
      <rPr>
        <sz val="11"/>
        <color rgb="FF000000"/>
        <rFont val="FreeSans"/>
        <family val="2"/>
      </rPr>
      <t xml:space="preserve">مرتفع </t>
    </r>
    <r>
      <rPr>
        <sz val="11"/>
        <color rgb="FF000000"/>
        <rFont val="Tajawal"/>
        <family val="0"/>
        <charset val="1"/>
      </rPr>
      <t xml:space="preserve">High</t>
    </r>
  </si>
  <si>
    <r>
      <rPr>
        <sz val="14"/>
        <color rgb="FFFFFFFF"/>
        <rFont val="FreeSans"/>
        <family val="2"/>
      </rPr>
      <t xml:space="preserve">التحديات الرئيسية  </t>
    </r>
    <r>
      <rPr>
        <sz val="14"/>
        <color rgb="FFFFFFFF"/>
        <rFont val="29LT Azer Medium"/>
        <family val="0"/>
        <charset val="1"/>
      </rPr>
      <t xml:space="preserve">/  Key Challenges</t>
    </r>
  </si>
  <si>
    <r>
      <rPr>
        <sz val="12"/>
        <rFont val="FreeSans"/>
        <family val="2"/>
      </rPr>
      <t xml:space="preserve">التحدي </t>
    </r>
    <r>
      <rPr>
        <sz val="12"/>
        <rFont val="Tajawal"/>
        <family val="0"/>
        <charset val="1"/>
      </rPr>
      <t xml:space="preserve">Challenge</t>
    </r>
  </si>
  <si>
    <r>
      <rPr>
        <sz val="12"/>
        <rFont val="FreeSans"/>
        <family val="2"/>
      </rPr>
      <t xml:space="preserve">التصنيف </t>
    </r>
    <r>
      <rPr>
        <sz val="12"/>
        <rFont val="Tajawal"/>
        <family val="0"/>
        <charset val="1"/>
      </rPr>
      <t xml:space="preserve">Category</t>
    </r>
  </si>
  <si>
    <r>
      <rPr>
        <sz val="12"/>
        <rFont val="FreeSans"/>
        <family val="2"/>
      </rPr>
      <t xml:space="preserve">مدى التأثير </t>
    </r>
    <r>
      <rPr>
        <sz val="12"/>
        <rFont val="Tajawal"/>
        <family val="0"/>
        <charset val="1"/>
      </rPr>
      <t xml:space="preserve">Impact</t>
    </r>
  </si>
  <si>
    <r>
      <rPr>
        <sz val="12"/>
        <rFont val="FreeSans"/>
        <family val="2"/>
      </rPr>
      <t xml:space="preserve">الأسباب </t>
    </r>
    <r>
      <rPr>
        <sz val="12"/>
        <rFont val="Tajawal"/>
        <family val="0"/>
        <charset val="1"/>
      </rPr>
      <t xml:space="preserve">Reasons</t>
    </r>
  </si>
  <si>
    <r>
      <rPr>
        <sz val="12"/>
        <rFont val="FreeSans"/>
        <family val="2"/>
      </rPr>
      <t xml:space="preserve">الإجراء المتخذ </t>
    </r>
    <r>
      <rPr>
        <sz val="12"/>
        <rFont val="Tajawal"/>
        <family val="0"/>
        <charset val="1"/>
      </rPr>
      <t xml:space="preserve">Action Taken</t>
    </r>
  </si>
  <si>
    <r>
      <rPr>
        <sz val="12"/>
        <rFont val="FreeSans"/>
        <family val="2"/>
      </rPr>
      <t xml:space="preserve">الحالة </t>
    </r>
    <r>
      <rPr>
        <sz val="12"/>
        <rFont val="Tajawal"/>
        <family val="0"/>
        <charset val="1"/>
      </rPr>
      <t xml:space="preserve">Status</t>
    </r>
  </si>
  <si>
    <r>
      <rPr>
        <sz val="12"/>
        <rFont val="FreeSans"/>
        <family val="2"/>
      </rPr>
      <t xml:space="preserve">ملاحظات </t>
    </r>
    <r>
      <rPr>
        <sz val="12"/>
        <rFont val="Tajawal"/>
        <family val="0"/>
        <charset val="1"/>
      </rPr>
      <t xml:space="preserve">Notes</t>
    </r>
  </si>
  <si>
    <t xml:space="preserve">تأخر التمويل</t>
  </si>
  <si>
    <t xml:space="preserve">مالي</t>
  </si>
  <si>
    <r>
      <rPr>
        <sz val="11"/>
        <color rgb="FF000000"/>
        <rFont val="FreeSans"/>
        <family val="2"/>
      </rPr>
      <t xml:space="preserve">متوسط </t>
    </r>
    <r>
      <rPr>
        <sz val="11"/>
        <color rgb="FF000000"/>
        <rFont val="Tajawal"/>
        <family val="0"/>
        <charset val="1"/>
      </rPr>
      <t xml:space="preserve">Medium</t>
    </r>
  </si>
  <si>
    <t xml:space="preserve">تأخر تحويلات المانح</t>
  </si>
  <si>
    <t xml:space="preserve">التواصل مع المانح</t>
  </si>
  <si>
    <t xml:space="preserve">قيد المعالجة</t>
  </si>
  <si>
    <r>
      <rPr>
        <sz val="14"/>
        <color rgb="FFFFFFFF"/>
        <rFont val="FreeSans"/>
        <family val="2"/>
      </rPr>
      <t xml:space="preserve">قائمة المقترحات المرفوعة لمجلس الأمناء  </t>
    </r>
    <r>
      <rPr>
        <sz val="14"/>
        <color rgb="FFFFFFFF"/>
        <rFont val="29LT Azer Medium"/>
        <family val="0"/>
        <charset val="1"/>
      </rPr>
      <t xml:space="preserve">/  Proposals Submitted to the Board of Trustees</t>
    </r>
  </si>
  <si>
    <r>
      <rPr>
        <sz val="12"/>
        <rFont val="FreeSans"/>
        <family val="2"/>
      </rPr>
      <t xml:space="preserve">المقترح </t>
    </r>
    <r>
      <rPr>
        <sz val="12"/>
        <rFont val="Tajawal"/>
        <family val="0"/>
        <charset val="1"/>
      </rPr>
      <t xml:space="preserve">Proposal</t>
    </r>
  </si>
  <si>
    <r>
      <rPr>
        <sz val="12"/>
        <rFont val="FreeSans"/>
        <family val="2"/>
      </rPr>
      <t xml:space="preserve">المبرر </t>
    </r>
    <r>
      <rPr>
        <sz val="12"/>
        <rFont val="Tajawal"/>
        <family val="0"/>
        <charset val="1"/>
      </rPr>
      <t xml:space="preserve">Justification</t>
    </r>
  </si>
  <si>
    <r>
      <rPr>
        <sz val="12"/>
        <rFont val="FreeSans"/>
        <family val="2"/>
      </rPr>
      <t xml:space="preserve">الأثر المتوقع </t>
    </r>
    <r>
      <rPr>
        <sz val="12"/>
        <rFont val="Tajawal"/>
        <family val="0"/>
        <charset val="1"/>
      </rPr>
      <t xml:space="preserve">Expected Impact</t>
    </r>
  </si>
  <si>
    <r>
      <rPr>
        <sz val="12"/>
        <rFont val="FreeSans"/>
        <family val="2"/>
      </rPr>
      <t xml:space="preserve">الأولوية </t>
    </r>
    <r>
      <rPr>
        <sz val="12"/>
        <rFont val="Tajawal"/>
        <family val="0"/>
        <charset val="1"/>
      </rPr>
      <t xml:space="preserve">Priority</t>
    </r>
  </si>
  <si>
    <r>
      <rPr>
        <sz val="12"/>
        <rFont val="FreeSans"/>
        <family val="2"/>
      </rPr>
      <t xml:space="preserve">التكلفة التقديرية </t>
    </r>
    <r>
      <rPr>
        <sz val="12"/>
        <rFont val="Tajawal"/>
        <family val="0"/>
        <charset val="1"/>
      </rPr>
      <t xml:space="preserve">Est. Cost</t>
    </r>
  </si>
  <si>
    <r>
      <rPr>
        <sz val="12"/>
        <rFont val="FreeSans"/>
        <family val="2"/>
      </rPr>
      <t xml:space="preserve">الجدول الزمني </t>
    </r>
    <r>
      <rPr>
        <sz val="12"/>
        <rFont val="Tajawal"/>
        <family val="0"/>
        <charset val="1"/>
      </rPr>
      <t xml:space="preserve">Timeline</t>
    </r>
  </si>
  <si>
    <t xml:space="preserve">اعتماد سياسة تنويع الإيرادات</t>
  </si>
  <si>
    <t xml:space="preserve">الاستدامة</t>
  </si>
  <si>
    <r>
      <rPr>
        <sz val="11"/>
        <color rgb="FF000000"/>
        <rFont val="FreeSans"/>
        <family val="2"/>
      </rPr>
      <t xml:space="preserve">عالية </t>
    </r>
    <r>
      <rPr>
        <sz val="11"/>
        <color rgb="FF000000"/>
        <rFont val="Tajawal"/>
        <family val="0"/>
        <charset val="1"/>
      </rPr>
      <t xml:space="preserve">/ High</t>
    </r>
  </si>
  <si>
    <t xml:space="preserve">الربع الثالث</t>
  </si>
  <si>
    <r>
      <rPr>
        <b val="true"/>
        <sz val="11"/>
        <color rgb="FFFFFFFF"/>
        <rFont val="FreeSans"/>
        <family val="2"/>
      </rPr>
      <t xml:space="preserve">اسم المؤسسة
</t>
    </r>
    <r>
      <rPr>
        <b val="true"/>
        <sz val="11"/>
        <color rgb="FFFFFFFF"/>
        <rFont val="Tajawal"/>
        <family val="0"/>
        <charset val="1"/>
      </rPr>
      <t xml:space="preserve">Institution</t>
    </r>
  </si>
  <si>
    <r>
      <rPr>
        <b val="true"/>
        <sz val="11"/>
        <color rgb="FFFFFFFF"/>
        <rFont val="FreeSans"/>
        <family val="2"/>
      </rPr>
      <t xml:space="preserve">الاختصار
</t>
    </r>
    <r>
      <rPr>
        <b val="true"/>
        <sz val="11"/>
        <color rgb="FFFFFFFF"/>
        <rFont val="Tajawal"/>
        <family val="0"/>
        <charset val="1"/>
      </rPr>
      <t xml:space="preserve">Abbrev.</t>
    </r>
  </si>
  <si>
    <r>
      <rPr>
        <b val="true"/>
        <sz val="11"/>
        <color rgb="FFFFFFFF"/>
        <rFont val="FreeSans"/>
        <family val="2"/>
      </rPr>
      <t xml:space="preserve">الفترة
</t>
    </r>
    <r>
      <rPr>
        <b val="true"/>
        <sz val="11"/>
        <color rgb="FFFFFFFF"/>
        <rFont val="Tajawal"/>
        <family val="0"/>
        <charset val="1"/>
      </rPr>
      <t xml:space="preserve">Period</t>
    </r>
  </si>
  <si>
    <r>
      <rPr>
        <b val="true"/>
        <sz val="11"/>
        <color rgb="FFFFFFFF"/>
        <rFont val="FreeSans"/>
        <family val="2"/>
      </rPr>
      <t xml:space="preserve">المنظور
</t>
    </r>
    <r>
      <rPr>
        <b val="true"/>
        <sz val="11"/>
        <color rgb="FFFFFFFF"/>
        <rFont val="Tajawal"/>
        <family val="0"/>
        <charset val="1"/>
      </rPr>
      <t xml:space="preserve">Perspective</t>
    </r>
  </si>
  <si>
    <r>
      <rPr>
        <b val="true"/>
        <sz val="11"/>
        <color rgb="FFFFFFFF"/>
        <rFont val="FreeSans"/>
        <family val="2"/>
      </rPr>
      <t xml:space="preserve">طبيعة القياس
</t>
    </r>
    <r>
      <rPr>
        <b val="true"/>
        <sz val="11"/>
        <color rgb="FFFFFFFF"/>
        <rFont val="Tajawal"/>
        <family val="0"/>
        <charset val="1"/>
      </rPr>
      <t xml:space="preserve">Measurement Nature</t>
    </r>
  </si>
  <si>
    <r>
      <rPr>
        <b val="true"/>
        <sz val="11"/>
        <color rgb="FFFFFFFF"/>
        <rFont val="FreeSans"/>
        <family val="2"/>
      </rPr>
      <t xml:space="preserve">دور المؤشر
</t>
    </r>
    <r>
      <rPr>
        <b val="true"/>
        <sz val="11"/>
        <color rgb="FFFFFFFF"/>
        <rFont val="Tajawal"/>
        <family val="0"/>
        <charset val="1"/>
      </rPr>
      <t xml:space="preserve">KPI Role</t>
    </r>
  </si>
  <si>
    <r>
      <rPr>
        <b val="true"/>
        <sz val="11"/>
        <color rgb="FFFFFFFF"/>
        <rFont val="FreeSans"/>
        <family val="2"/>
      </rPr>
      <t xml:space="preserve">الوحدة
</t>
    </r>
    <r>
      <rPr>
        <b val="true"/>
        <sz val="11"/>
        <color rgb="FFFFFFFF"/>
        <rFont val="Tajawal"/>
        <family val="0"/>
        <charset val="1"/>
      </rPr>
      <t xml:space="preserve">Unit</t>
    </r>
  </si>
  <si>
    <r>
      <rPr>
        <b val="true"/>
        <sz val="11"/>
        <color rgb="FFFFFFFF"/>
        <rFont val="FreeSans"/>
        <family val="2"/>
      </rPr>
      <t xml:space="preserve">القطبية
</t>
    </r>
    <r>
      <rPr>
        <b val="true"/>
        <sz val="11"/>
        <color rgb="FFFFFFFF"/>
        <rFont val="Tajawal"/>
        <family val="0"/>
        <charset val="1"/>
      </rPr>
      <t xml:space="preserve">Polarity</t>
    </r>
  </si>
  <si>
    <r>
      <rPr>
        <b val="true"/>
        <sz val="11"/>
        <color rgb="FFFFFFFF"/>
        <rFont val="FreeSans"/>
        <family val="2"/>
      </rPr>
      <t xml:space="preserve">التردد
</t>
    </r>
    <r>
      <rPr>
        <b val="true"/>
        <sz val="11"/>
        <color rgb="FFFFFFFF"/>
        <rFont val="Tajawal"/>
        <family val="0"/>
        <charset val="1"/>
      </rPr>
      <t xml:space="preserve">Frequency</t>
    </r>
  </si>
  <si>
    <r>
      <rPr>
        <b val="true"/>
        <sz val="11"/>
        <color rgb="FFFFFFFF"/>
        <rFont val="FreeSans"/>
        <family val="2"/>
      </rPr>
      <t xml:space="preserve">وحدات القياس العددي
</t>
    </r>
    <r>
      <rPr>
        <b val="true"/>
        <sz val="11"/>
        <color rgb="FFFFFFFF"/>
        <rFont val="Tajawal"/>
        <family val="0"/>
        <charset val="1"/>
      </rPr>
      <t xml:space="preserve">Number Units</t>
    </r>
  </si>
  <si>
    <r>
      <rPr>
        <b val="true"/>
        <sz val="11"/>
        <color rgb="FFFFFFFF"/>
        <rFont val="FreeSans"/>
        <family val="2"/>
      </rPr>
      <t xml:space="preserve">وحدة القياس النسبي
</t>
    </r>
    <r>
      <rPr>
        <b val="true"/>
        <sz val="11"/>
        <color rgb="FFFFFFFF"/>
        <rFont val="Tajawal"/>
        <family val="0"/>
        <charset val="1"/>
      </rPr>
      <t xml:space="preserve">Percentage Unit</t>
    </r>
  </si>
  <si>
    <r>
      <rPr>
        <b val="true"/>
        <sz val="11"/>
        <color rgb="FFFFFFFF"/>
        <rFont val="FreeSans"/>
        <family val="2"/>
      </rPr>
      <t xml:space="preserve">وحدة القياس النوعي
</t>
    </r>
    <r>
      <rPr>
        <b val="true"/>
        <sz val="11"/>
        <color rgb="FFFFFFFF"/>
        <rFont val="Tajawal"/>
        <family val="0"/>
        <charset val="1"/>
      </rPr>
      <t xml:space="preserve">Qualitative Unit</t>
    </r>
  </si>
  <si>
    <r>
      <rPr>
        <b val="true"/>
        <sz val="11"/>
        <color rgb="FFFFFFFF"/>
        <rFont val="FreeSans"/>
        <family val="2"/>
      </rPr>
      <t xml:space="preserve">تردد المؤشرات النوعية
</t>
    </r>
    <r>
      <rPr>
        <b val="true"/>
        <sz val="11"/>
        <color rgb="FFFFFFFF"/>
        <rFont val="Tajawal"/>
        <family val="0"/>
        <charset val="1"/>
      </rPr>
      <t xml:space="preserve">Qualitative Frequency</t>
    </r>
  </si>
  <si>
    <r>
      <rPr>
        <b val="true"/>
        <sz val="11"/>
        <color rgb="FFFFFFFF"/>
        <rFont val="FreeSans"/>
        <family val="2"/>
      </rPr>
      <t xml:space="preserve">الأولوية
</t>
    </r>
    <r>
      <rPr>
        <b val="true"/>
        <sz val="11"/>
        <color rgb="FFFFFFFF"/>
        <rFont val="Tajawal"/>
        <family val="0"/>
        <charset val="1"/>
      </rPr>
      <t xml:space="preserve">Priority</t>
    </r>
  </si>
  <si>
    <r>
      <rPr>
        <b val="true"/>
        <sz val="11"/>
        <color rgb="FFFFFFFF"/>
        <rFont val="FreeSans"/>
        <family val="2"/>
      </rPr>
      <t xml:space="preserve">مستوى الأثر
</t>
    </r>
    <r>
      <rPr>
        <b val="true"/>
        <sz val="11"/>
        <color rgb="FFFFFFFF"/>
        <rFont val="Tajawal"/>
        <family val="0"/>
        <charset val="1"/>
      </rPr>
      <t xml:space="preserve">Impact Level</t>
    </r>
  </si>
  <si>
    <r>
      <rPr>
        <b val="true"/>
        <sz val="11"/>
        <color rgb="FFFFFFFF"/>
        <rFont val="FreeSans"/>
        <family val="2"/>
      </rPr>
      <t xml:space="preserve">الحد الأدنى للنسبة
</t>
    </r>
    <r>
      <rPr>
        <b val="true"/>
        <sz val="11"/>
        <color rgb="FFFFFFFF"/>
        <rFont val="Tajawal"/>
        <family val="0"/>
        <charset val="1"/>
      </rPr>
      <t xml:space="preserve">Min %</t>
    </r>
  </si>
  <si>
    <r>
      <rPr>
        <b val="true"/>
        <sz val="11"/>
        <color rgb="FFFFFFFF"/>
        <rFont val="FreeSans"/>
        <family val="2"/>
      </rPr>
      <t xml:space="preserve">التقييم
</t>
    </r>
    <r>
      <rPr>
        <b val="true"/>
        <sz val="11"/>
        <color rgb="FFFFFFFF"/>
        <rFont val="Tajawal"/>
        <family val="0"/>
        <charset val="1"/>
      </rPr>
      <t xml:space="preserve">Rating</t>
    </r>
  </si>
  <si>
    <r>
      <rPr>
        <b val="true"/>
        <sz val="11"/>
        <color rgb="FFFFFFFF"/>
        <rFont val="FreeSans"/>
        <family val="2"/>
      </rPr>
      <t xml:space="preserve">نوع النشاط
</t>
    </r>
    <r>
      <rPr>
        <b val="true"/>
        <sz val="11"/>
        <color rgb="FFFFFFFF"/>
        <rFont val="Tajawal"/>
        <family val="0"/>
        <charset val="1"/>
      </rPr>
      <t xml:space="preserve">Activity Type</t>
    </r>
  </si>
  <si>
    <t xml:space="preserve">ZF</t>
  </si>
  <si>
    <r>
      <rPr>
        <sz val="11"/>
        <color rgb="FF000000"/>
        <rFont val="FreeSans"/>
        <family val="2"/>
      </rPr>
      <t xml:space="preserve">أصحاب المصلحة </t>
    </r>
    <r>
      <rPr>
        <sz val="11"/>
        <color rgb="FF000000"/>
        <rFont val="Tajawal"/>
        <family val="0"/>
        <charset val="1"/>
      </rPr>
      <t xml:space="preserve">Stakeholder</t>
    </r>
  </si>
  <si>
    <r>
      <rPr>
        <sz val="11"/>
        <color rgb="FF000000"/>
        <rFont val="FreeSans"/>
        <family val="2"/>
      </rPr>
      <t xml:space="preserve">ضعيف </t>
    </r>
    <r>
      <rPr>
        <sz val="11"/>
        <color rgb="FF000000"/>
        <rFont val="Tajawal"/>
        <family val="0"/>
        <charset val="1"/>
      </rPr>
      <t xml:space="preserve">Weak</t>
    </r>
  </si>
  <si>
    <r>
      <rPr>
        <sz val="11"/>
        <color rgb="FF000000"/>
        <rFont val="FreeSans"/>
        <family val="2"/>
      </rPr>
      <t xml:space="preserve">جامعة زمزم </t>
    </r>
    <r>
      <rPr>
        <sz val="11"/>
        <color rgb="FF000000"/>
        <rFont val="Tajawal"/>
        <family val="0"/>
        <charset val="1"/>
      </rPr>
      <t xml:space="preserve">Zamzam University</t>
    </r>
  </si>
  <si>
    <t xml:space="preserve">ZUST</t>
  </si>
  <si>
    <r>
      <rPr>
        <sz val="11"/>
        <color rgb="FF000000"/>
        <rFont val="FreeSans"/>
        <family val="2"/>
      </rPr>
      <t xml:space="preserve">العمليات الداخلية </t>
    </r>
    <r>
      <rPr>
        <sz val="11"/>
        <color rgb="FF000000"/>
        <rFont val="Tajawal"/>
        <family val="0"/>
        <charset val="1"/>
      </rPr>
      <t xml:space="preserve">Internal Process</t>
    </r>
  </si>
  <si>
    <r>
      <rPr>
        <sz val="11"/>
        <color rgb="FF000000"/>
        <rFont val="FreeSans"/>
        <family val="2"/>
      </rPr>
      <t xml:space="preserve">متوسطة </t>
    </r>
    <r>
      <rPr>
        <sz val="11"/>
        <color rgb="FF000000"/>
        <rFont val="Tajawal"/>
        <family val="0"/>
        <charset val="1"/>
      </rPr>
      <t xml:space="preserve">/ Medium</t>
    </r>
  </si>
  <si>
    <r>
      <rPr>
        <sz val="11"/>
        <color rgb="FF000000"/>
        <rFont val="FreeSans"/>
        <family val="2"/>
      </rPr>
      <t xml:space="preserve">متوسط </t>
    </r>
    <r>
      <rPr>
        <sz val="11"/>
        <color rgb="FF000000"/>
        <rFont val="Tajawal"/>
        <family val="0"/>
        <charset val="1"/>
      </rPr>
      <t xml:space="preserve">Average</t>
    </r>
  </si>
  <si>
    <r>
      <rPr>
        <sz val="11"/>
        <color rgb="FF000000"/>
        <rFont val="FreeSans"/>
        <family val="2"/>
      </rPr>
      <t xml:space="preserve">زاد للتنمية </t>
    </r>
    <r>
      <rPr>
        <sz val="11"/>
        <color rgb="FF000000"/>
        <rFont val="Tajawal"/>
        <family val="0"/>
        <charset val="1"/>
      </rPr>
      <t xml:space="preserve">Zad for Development</t>
    </r>
  </si>
  <si>
    <t xml:space="preserve">ZAD</t>
  </si>
  <si>
    <r>
      <rPr>
        <sz val="11"/>
        <color rgb="FF000000"/>
        <rFont val="FreeSans"/>
        <family val="2"/>
      </rPr>
      <t xml:space="preserve">التعلّم والنّمو </t>
    </r>
    <r>
      <rPr>
        <sz val="11"/>
        <color rgb="FF000000"/>
        <rFont val="Tajawal"/>
        <family val="0"/>
        <charset val="1"/>
      </rPr>
      <t xml:space="preserve">Learning &amp; Growth</t>
    </r>
  </si>
  <si>
    <r>
      <rPr>
        <sz val="11"/>
        <color rgb="FF000000"/>
        <rFont val="FreeSans"/>
        <family val="2"/>
      </rPr>
      <t xml:space="preserve">منخفضة </t>
    </r>
    <r>
      <rPr>
        <sz val="11"/>
        <color rgb="FF000000"/>
        <rFont val="Tajawal"/>
        <family val="0"/>
        <charset val="1"/>
      </rPr>
      <t xml:space="preserve">/ Low</t>
    </r>
  </si>
  <si>
    <r>
      <rPr>
        <sz val="11"/>
        <color rgb="FF000000"/>
        <rFont val="FreeSans"/>
        <family val="2"/>
      </rPr>
      <t xml:space="preserve">منخفض </t>
    </r>
    <r>
      <rPr>
        <sz val="11"/>
        <color rgb="FF000000"/>
        <rFont val="Tajawal"/>
        <family val="0"/>
        <charset val="1"/>
      </rPr>
      <t xml:space="preserve">Low</t>
    </r>
  </si>
  <si>
    <r>
      <rPr>
        <sz val="11"/>
        <color rgb="FF000000"/>
        <rFont val="FreeSans"/>
        <family val="2"/>
      </rPr>
      <t xml:space="preserve">جيد </t>
    </r>
    <r>
      <rPr>
        <sz val="11"/>
        <color rgb="FF000000"/>
        <rFont val="Tajawal"/>
        <family val="0"/>
        <charset val="1"/>
      </rPr>
      <t xml:space="preserve">Good</t>
    </r>
  </si>
  <si>
    <r>
      <rPr>
        <sz val="11"/>
        <color rgb="FF000000"/>
        <rFont val="FreeSans"/>
        <family val="2"/>
      </rPr>
      <t xml:space="preserve">كافي للتنمية </t>
    </r>
    <r>
      <rPr>
        <sz val="11"/>
        <color rgb="FF000000"/>
        <rFont val="Tajawal"/>
        <family val="0"/>
        <charset val="1"/>
      </rPr>
      <t xml:space="preserve">Kafi for Development</t>
    </r>
  </si>
  <si>
    <t xml:space="preserve">Kafi</t>
  </si>
  <si>
    <t xml:space="preserve">Q4</t>
  </si>
  <si>
    <r>
      <rPr>
        <sz val="11"/>
        <color rgb="FF000000"/>
        <rFont val="FreeSans"/>
        <family val="2"/>
      </rPr>
      <t xml:space="preserve">المالي </t>
    </r>
    <r>
      <rPr>
        <sz val="11"/>
        <color rgb="FF000000"/>
        <rFont val="Tajawal"/>
        <family val="0"/>
        <charset val="1"/>
      </rPr>
      <t xml:space="preserve">Financial</t>
    </r>
  </si>
  <si>
    <r>
      <rPr>
        <sz val="11"/>
        <color rgb="FF000000"/>
        <rFont val="FreeSans"/>
        <family val="2"/>
      </rPr>
      <t xml:space="preserve">ممتاز </t>
    </r>
    <r>
      <rPr>
        <sz val="11"/>
        <color rgb="FF000000"/>
        <rFont val="Tajawal"/>
        <family val="0"/>
        <charset val="1"/>
      </rPr>
      <t xml:space="preserve">Excellent</t>
    </r>
  </si>
  <si>
    <r>
      <rPr>
        <sz val="11"/>
        <color rgb="FF000000"/>
        <rFont val="FreeSans"/>
        <family val="2"/>
      </rPr>
      <t xml:space="preserve">تيو للتعليم </t>
    </r>
    <r>
      <rPr>
        <sz val="11"/>
        <color rgb="FF000000"/>
        <rFont val="Tajawal"/>
        <family val="0"/>
        <charset val="1"/>
      </rPr>
      <t xml:space="preserve">Tayo for Education</t>
    </r>
  </si>
  <si>
    <t xml:space="preserve">Tayo</t>
  </si>
  <si>
    <r>
      <rPr>
        <sz val="11"/>
        <color rgb="FF000000"/>
        <rFont val="FreeSans"/>
        <family val="2"/>
      </rPr>
      <t xml:space="preserve">منظمة حمدي للتنمية </t>
    </r>
    <r>
      <rPr>
        <sz val="11"/>
        <color rgb="FF000000"/>
        <rFont val="Tajawal"/>
        <family val="0"/>
        <charset val="1"/>
      </rPr>
      <t xml:space="preserve">Hamdi Organization</t>
    </r>
  </si>
  <si>
    <t xml:space="preserve">Hamdi</t>
  </si>
  <si>
    <r>
      <rPr>
        <sz val="10"/>
        <color rgb="FF595959"/>
        <rFont val="FreeSans"/>
        <family val="2"/>
      </rPr>
      <t xml:space="preserve">يُعدَّل الحد الأدنى لكل تقييم من هنا </t>
    </r>
    <r>
      <rPr>
        <sz val="10"/>
        <color rgb="FF595959"/>
        <rFont val="Tajawal"/>
        <family val="0"/>
        <charset val="1"/>
      </rPr>
      <t xml:space="preserve">(</t>
    </r>
    <r>
      <rPr>
        <sz val="10"/>
        <color rgb="FF595959"/>
        <rFont val="FreeSans"/>
        <family val="2"/>
      </rPr>
      <t xml:space="preserve">تصاعديًا</t>
    </r>
    <r>
      <rPr>
        <sz val="10"/>
        <color rgb="FF595959"/>
        <rFont val="Tajawal"/>
        <family val="0"/>
        <charset val="1"/>
      </rPr>
      <t xml:space="preserve">)  |  Edit thresholds here (ascending)</t>
    </r>
  </si>
</sst>
</file>

<file path=xl/styles.xml><?xml version="1.0" encoding="utf-8"?>
<styleSheet xmlns="http://schemas.openxmlformats.org/spreadsheetml/2006/main">
  <numFmts count="9">
    <numFmt numFmtId="164" formatCode="General"/>
    <numFmt numFmtId="165" formatCode="General"/>
    <numFmt numFmtId="166" formatCode="0.0\%"/>
    <numFmt numFmtId="167" formatCode="#,##0"/>
    <numFmt numFmtId="168" formatCode="0.0%"/>
    <numFmt numFmtId="169" formatCode="@"/>
    <numFmt numFmtId="170" formatCode="#,##0.00;\(#,##0.00\);\-"/>
    <numFmt numFmtId="171" formatCode="yyyy/mm/dd"/>
    <numFmt numFmtId="172" formatCode="0%"/>
  </numFmts>
  <fonts count="48">
    <font>
      <sz val="11"/>
      <color theme="1"/>
      <name val="Calibri"/>
      <family val="2"/>
      <charset val="1"/>
    </font>
    <font>
      <sz val="10"/>
      <name val="Arial"/>
      <family val="0"/>
    </font>
    <font>
      <sz val="10"/>
      <name val="Arial"/>
      <family val="0"/>
    </font>
    <font>
      <sz val="10"/>
      <name val="Arial"/>
      <family val="0"/>
    </font>
    <font>
      <sz val="18"/>
      <color rgb="FFFFFFFF"/>
      <name val="FreeSans"/>
      <family val="2"/>
    </font>
    <font>
      <sz val="18"/>
      <color rgb="FFFFFFFF"/>
      <name val="29LT Azer Medium"/>
      <family val="0"/>
      <charset val="1"/>
    </font>
    <font>
      <sz val="15"/>
      <color rgb="FFFFFFFF"/>
      <name val="FreeSans"/>
      <family val="2"/>
    </font>
    <font>
      <sz val="15"/>
      <color rgb="FFFFFFFF"/>
      <name val="29LT Azer Medium"/>
      <family val="0"/>
      <charset val="1"/>
    </font>
    <font>
      <sz val="12"/>
      <color rgb="FF000000"/>
      <name val="FreeSans"/>
      <family val="2"/>
    </font>
    <font>
      <sz val="12"/>
      <color rgb="FF000000"/>
      <name val="Tajawal"/>
      <family val="0"/>
      <charset val="1"/>
    </font>
    <font>
      <sz val="14"/>
      <color rgb="FFFFFFFF"/>
      <name val="FreeSans"/>
      <family val="2"/>
    </font>
    <font>
      <sz val="14"/>
      <color rgb="FFFFFFFF"/>
      <name val="29LT Azer Medium"/>
      <family val="0"/>
      <charset val="1"/>
    </font>
    <font>
      <b val="true"/>
      <sz val="12"/>
      <color rgb="FF000000"/>
      <name val="FreeSans"/>
      <family val="2"/>
    </font>
    <font>
      <sz val="11.5"/>
      <color rgb="FF000000"/>
      <name val="Tajawal"/>
      <family val="0"/>
      <charset val="1"/>
    </font>
    <font>
      <sz val="11.5"/>
      <color rgb="FF000000"/>
      <name val="FreeSans"/>
      <family val="2"/>
    </font>
    <font>
      <b val="true"/>
      <sz val="12"/>
      <color rgb="FF137B79"/>
      <name val="FreeSans"/>
      <family val="2"/>
    </font>
    <font>
      <b val="true"/>
      <sz val="12"/>
      <color rgb="FF137B79"/>
      <name val="Tajawal"/>
      <family val="0"/>
      <charset val="1"/>
    </font>
    <font>
      <b val="true"/>
      <sz val="11.5"/>
      <color rgb="FF9C0006"/>
      <name val="FreeSans"/>
      <family val="2"/>
    </font>
    <font>
      <b val="true"/>
      <sz val="11.5"/>
      <color rgb="FF9C0006"/>
      <name val="Tajawal"/>
      <family val="0"/>
      <charset val="1"/>
    </font>
    <font>
      <b val="true"/>
      <sz val="13"/>
      <color rgb="FF137B79"/>
      <name val="FreeSans"/>
      <family val="2"/>
    </font>
    <font>
      <b val="true"/>
      <sz val="13"/>
      <color rgb="FF137B79"/>
      <name val="Tajawal"/>
      <family val="0"/>
      <charset val="1"/>
    </font>
    <font>
      <b val="true"/>
      <sz val="12"/>
      <color rgb="FF000000"/>
      <name val="Tajawal"/>
      <family val="0"/>
      <charset val="1"/>
    </font>
    <font>
      <sz val="16"/>
      <color rgb="FFFFFFFF"/>
      <name val="FreeSans"/>
      <family val="2"/>
    </font>
    <font>
      <sz val="16"/>
      <color rgb="FFFFFFFF"/>
      <name val="29LT Azer Medium"/>
      <family val="0"/>
      <charset val="1"/>
    </font>
    <font>
      <b val="true"/>
      <sz val="11"/>
      <color rgb="FF000000"/>
      <name val="Tajawal"/>
      <family val="0"/>
      <charset val="1"/>
    </font>
    <font>
      <b val="true"/>
      <sz val="11"/>
      <color rgb="FF000000"/>
      <name val="FreeSans"/>
      <family val="2"/>
    </font>
    <font>
      <sz val="11"/>
      <color rgb="FF000000"/>
      <name val="FreeSans"/>
      <family val="2"/>
    </font>
    <font>
      <sz val="11"/>
      <color rgb="FF000000"/>
      <name val="Tajawal"/>
      <family val="0"/>
      <charset val="1"/>
    </font>
    <font>
      <b val="true"/>
      <sz val="11"/>
      <color rgb="FFFFFFFF"/>
      <name val="FreeSans"/>
      <family val="2"/>
    </font>
    <font>
      <b val="true"/>
      <sz val="11"/>
      <color rgb="FFFFFFFF"/>
      <name val="Tajawal"/>
      <family val="0"/>
      <charset val="1"/>
    </font>
    <font>
      <b val="true"/>
      <sz val="10"/>
      <color rgb="FFFFFFFF"/>
      <name val="FreeSans"/>
      <family val="2"/>
    </font>
    <font>
      <b val="true"/>
      <sz val="10"/>
      <color rgb="FFFFFFFF"/>
      <name val="Tajawal"/>
      <family val="0"/>
      <charset val="1"/>
    </font>
    <font>
      <sz val="10"/>
      <color rgb="FF595959"/>
      <name val="FreeSans"/>
      <family val="2"/>
    </font>
    <font>
      <sz val="10"/>
      <color rgb="FF595959"/>
      <name val="Tajawal"/>
      <family val="0"/>
      <charset val="1"/>
    </font>
    <font>
      <sz val="11"/>
      <color rgb="FF9E9E9E"/>
      <name val="Tajawal"/>
      <family val="0"/>
      <charset val="1"/>
    </font>
    <font>
      <sz val="10"/>
      <color rgb="FF000000"/>
      <name val="FreeSans"/>
      <family val="2"/>
    </font>
    <font>
      <sz val="10"/>
      <color rgb="FF000000"/>
      <name val="Tajawal"/>
      <family val="0"/>
      <charset val="1"/>
    </font>
    <font>
      <sz val="12"/>
      <name val="FreeSans"/>
      <family val="2"/>
    </font>
    <font>
      <sz val="12"/>
      <name val="Tajawal"/>
      <family val="0"/>
      <charset val="1"/>
    </font>
    <font>
      <sz val="12"/>
      <color theme="1"/>
      <name val="FreeSans"/>
      <family val="2"/>
    </font>
    <font>
      <sz val="12"/>
      <color theme="1"/>
      <name val="Tajawal"/>
      <family val="0"/>
      <charset val="1"/>
    </font>
    <font>
      <sz val="12"/>
      <color theme="1"/>
      <name val="Aptos Narrow"/>
      <family val="2"/>
      <charset val="1"/>
    </font>
    <font>
      <sz val="11"/>
      <color theme="1"/>
      <name val="FreeSans"/>
      <family val="2"/>
    </font>
    <font>
      <sz val="11"/>
      <color rgb="FF212121"/>
      <name val="FreeSans"/>
      <family val="2"/>
    </font>
    <font>
      <sz val="11"/>
      <color rgb="FF212121"/>
      <name val="Tajawal"/>
      <family val="0"/>
      <charset val="1"/>
    </font>
    <font>
      <b val="true"/>
      <sz val="11"/>
      <color rgb="FF5D4037"/>
      <name val="Tajawal"/>
      <family val="0"/>
      <charset val="1"/>
    </font>
    <font>
      <sz val="11"/>
      <color rgb="FF222222"/>
      <name val="FreeSans"/>
      <family val="2"/>
    </font>
    <font>
      <sz val="11"/>
      <color rgb="FF222222"/>
      <name val="Tajawal"/>
      <family val="0"/>
      <charset val="1"/>
    </font>
  </fonts>
  <fills count="11">
    <fill>
      <patternFill patternType="none"/>
    </fill>
    <fill>
      <patternFill patternType="gray125"/>
    </fill>
    <fill>
      <patternFill patternType="solid">
        <fgColor rgb="FF137B79"/>
        <bgColor rgb="FF008080"/>
      </patternFill>
    </fill>
    <fill>
      <patternFill patternType="solid">
        <fgColor rgb="FF4472C4"/>
        <bgColor rgb="FF5B84CF"/>
      </patternFill>
    </fill>
    <fill>
      <patternFill patternType="solid">
        <fgColor rgb="FFDAF2D0"/>
        <bgColor rgb="FFEEECE1"/>
      </patternFill>
    </fill>
    <fill>
      <patternFill patternType="solid">
        <fgColor rgb="FFEBF3FB"/>
        <bgColor rgb="FFF2F6FC"/>
      </patternFill>
    </fill>
    <fill>
      <patternFill patternType="solid">
        <fgColor rgb="FFDEFAF9"/>
        <bgColor rgb="FFEBF3FB"/>
      </patternFill>
    </fill>
    <fill>
      <patternFill patternType="solid">
        <fgColor rgb="FFF2F6FC"/>
        <bgColor rgb="FFEBF3FB"/>
      </patternFill>
    </fill>
    <fill>
      <patternFill patternType="solid">
        <fgColor rgb="FF5B84CF"/>
        <bgColor rgb="FF4472C4"/>
      </patternFill>
    </fill>
    <fill>
      <patternFill patternType="solid">
        <fgColor rgb="FFD0D0D0"/>
        <bgColor rgb="FFC8DCC1"/>
      </patternFill>
    </fill>
    <fill>
      <patternFill patternType="solid">
        <fgColor theme="0"/>
        <bgColor rgb="FFF2F6FC"/>
      </patternFill>
    </fill>
  </fills>
  <borders count="13">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 diagonalUp="false" diagonalDown="false">
      <left/>
      <right/>
      <top/>
      <bottom style="thin">
        <color rgb="FF137B79"/>
      </bottom>
      <diagonal/>
    </border>
    <border diagonalUp="false" diagonalDown="false">
      <left style="medium">
        <color rgb="FFAAAAAA"/>
      </left>
      <right/>
      <top style="medium">
        <color rgb="FFAAAAAA"/>
      </top>
      <bottom style="medium">
        <color rgb="FFAAAAAA"/>
      </bottom>
      <diagonal/>
    </border>
    <border diagonalUp="false" diagonalDown="false">
      <left style="thin">
        <color rgb="FFD0D0D0"/>
      </left>
      <right style="thin">
        <color rgb="FFD0D0D0"/>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diagonal/>
    </border>
    <border diagonalUp="false" diagonalDown="false">
      <left style="medium">
        <color rgb="FF137B79"/>
      </left>
      <right/>
      <top/>
      <bottom/>
      <diagonal/>
    </border>
    <border diagonalUp="false" diagonalDown="false">
      <left style="thin">
        <color theme="2"/>
      </left>
      <right style="thin">
        <color theme="2"/>
      </right>
      <top style="thin">
        <color theme="2"/>
      </top>
      <bottom style="thin">
        <color theme="2"/>
      </bottom>
      <diagonal/>
    </border>
    <border diagonalUp="false" diagonalDown="false">
      <left style="thin">
        <color theme="2"/>
      </left>
      <right style="thin">
        <color theme="2"/>
      </right>
      <top style="thin">
        <color theme="2"/>
      </top>
      <bottom/>
      <diagonal/>
    </border>
    <border diagonalUp="false" diagonalDown="false">
      <left style="thin">
        <color rgb="FFBDBDBD"/>
      </left>
      <right style="thin">
        <color rgb="FFBDBDBD"/>
      </right>
      <top style="thin">
        <color rgb="FFBDBDBD"/>
      </top>
      <bottom style="thin">
        <color rgb="FFBDBDBD"/>
      </bottom>
      <diagonal/>
    </border>
    <border diagonalUp="false" diagonalDown="false">
      <left style="thin">
        <color rgb="FFC8DCC1"/>
      </left>
      <right style="thin">
        <color rgb="FFC8DCC1"/>
      </right>
      <top style="thin">
        <color rgb="FFC8DCC1"/>
      </top>
      <bottom style="thin">
        <color rgb="FFC8DCC1"/>
      </bottom>
      <diagonal/>
    </border>
    <border diagonalUp="false" diagonalDown="false">
      <left/>
      <right/>
      <top/>
      <bottom style="thin">
        <color them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readingOrder="2"/>
      <protection locked="true" hidden="false"/>
    </xf>
    <xf numFmtId="164" fontId="6" fillId="3" borderId="0" xfId="0" applyFont="true" applyBorder="true" applyAlignment="true" applyProtection="false">
      <alignment horizontal="center" vertical="center" textRotation="0" wrapText="true" indent="0" shrinkToFit="false" readingOrder="2"/>
      <protection locked="true" hidden="false"/>
    </xf>
    <xf numFmtId="164" fontId="8" fillId="0" borderId="0" xfId="0" applyFont="true" applyBorder="true" applyAlignment="true" applyProtection="false">
      <alignment horizontal="right" vertical="top" textRotation="0" wrapText="true" indent="0" shrinkToFit="false" readingOrder="2"/>
      <protection locked="true" hidden="false"/>
    </xf>
    <xf numFmtId="164" fontId="10" fillId="3" borderId="0" xfId="0" applyFont="true" applyBorder="true" applyAlignment="true" applyProtection="false">
      <alignment horizontal="center" vertical="center" textRotation="0" wrapText="true" indent="0" shrinkToFit="false" readingOrder="2"/>
      <protection locked="true" hidden="false"/>
    </xf>
    <xf numFmtId="164" fontId="12" fillId="4" borderId="1" xfId="0" applyFont="true" applyBorder="true" applyAlignment="true" applyProtection="false">
      <alignment horizontal="center" vertical="center" textRotation="0" wrapText="true" indent="0" shrinkToFit="false" readingOrder="2"/>
      <protection locked="true" hidden="false"/>
    </xf>
    <xf numFmtId="164" fontId="13" fillId="0" borderId="1" xfId="0" applyFont="true" applyBorder="true" applyAlignment="true" applyProtection="false">
      <alignment horizontal="right" vertical="center" textRotation="0" wrapText="true" indent="0" shrinkToFit="false" readingOrder="2"/>
      <protection locked="true" hidden="false"/>
    </xf>
    <xf numFmtId="164" fontId="14" fillId="0" borderId="1" xfId="0" applyFont="true" applyBorder="true" applyAlignment="true" applyProtection="false">
      <alignment horizontal="right" vertical="center" textRotation="0" wrapText="true" indent="0" shrinkToFit="false" readingOrder="2"/>
      <protection locked="true" hidden="false"/>
    </xf>
    <xf numFmtId="164" fontId="15" fillId="0" borderId="0" xfId="0" applyFont="true" applyBorder="false" applyAlignment="true" applyProtection="false">
      <alignment horizontal="right" vertical="top" textRotation="0" wrapText="true" indent="0" shrinkToFit="false" readingOrder="2"/>
      <protection locked="true" hidden="false"/>
    </xf>
    <xf numFmtId="164" fontId="17" fillId="0" borderId="0" xfId="0" applyFont="true" applyBorder="true" applyAlignment="true" applyProtection="false">
      <alignment horizontal="right" vertical="top" textRotation="0" wrapText="true" indent="0" shrinkToFit="false" readingOrder="2"/>
      <protection locked="true" hidden="false"/>
    </xf>
    <xf numFmtId="164" fontId="19" fillId="0" borderId="2" xfId="0" applyFont="true" applyBorder="true" applyAlignment="true" applyProtection="false">
      <alignment horizontal="right" vertical="top" textRotation="0" wrapText="true" indent="0" shrinkToFit="false" readingOrder="2"/>
      <protection locked="true" hidden="false"/>
    </xf>
    <xf numFmtId="164" fontId="16" fillId="0" borderId="0" xfId="0" applyFont="true" applyBorder="false" applyAlignment="true" applyProtection="false">
      <alignment horizontal="right" vertical="top" textRotation="0" wrapText="true" indent="0" shrinkToFit="false" readingOrder="2"/>
      <protection locked="true" hidden="false"/>
    </xf>
    <xf numFmtId="164" fontId="12" fillId="0" borderId="0" xfId="0" applyFont="true" applyBorder="true" applyAlignment="true" applyProtection="false">
      <alignment horizontal="right" vertical="top" textRotation="0" wrapText="true" indent="0" shrinkToFit="false" readingOrder="2"/>
      <protection locked="true" hidden="false"/>
    </xf>
    <xf numFmtId="164" fontId="5" fillId="2" borderId="0" xfId="0" applyFont="true" applyBorder="true" applyAlignment="true" applyProtection="false">
      <alignment horizontal="center" vertical="center" textRotation="0" wrapText="true" indent="0" shrinkToFit="false" readingOrder="1"/>
      <protection locked="true" hidden="false"/>
    </xf>
    <xf numFmtId="164" fontId="7" fillId="3" borderId="0" xfId="0" applyFont="true" applyBorder="true" applyAlignment="true" applyProtection="false">
      <alignment horizontal="center" vertical="center" textRotation="0" wrapText="true" indent="0" shrinkToFit="false" readingOrder="1"/>
      <protection locked="true" hidden="false"/>
    </xf>
    <xf numFmtId="164" fontId="9" fillId="0" borderId="0" xfId="0" applyFont="true" applyBorder="true" applyAlignment="true" applyProtection="false">
      <alignment horizontal="left" vertical="top" textRotation="0" wrapText="true" indent="0" shrinkToFit="false" readingOrder="1"/>
      <protection locked="true" hidden="false"/>
    </xf>
    <xf numFmtId="164" fontId="11" fillId="3" borderId="0" xfId="0" applyFont="true" applyBorder="true" applyAlignment="true" applyProtection="false">
      <alignment horizontal="center" vertical="center" textRotation="0" wrapText="true" indent="0" shrinkToFit="false" readingOrder="1"/>
      <protection locked="true" hidden="false"/>
    </xf>
    <xf numFmtId="164" fontId="21" fillId="4" borderId="1" xfId="0" applyFont="true" applyBorder="true" applyAlignment="true" applyProtection="false">
      <alignment horizontal="center" vertical="center" textRotation="0" wrapText="true" indent="0" shrinkToFit="false" readingOrder="1"/>
      <protection locked="true" hidden="false"/>
    </xf>
    <xf numFmtId="164" fontId="13" fillId="0" borderId="1" xfId="0" applyFont="true" applyBorder="true" applyAlignment="true" applyProtection="false">
      <alignment horizontal="left" vertical="center" textRotation="0" wrapText="true" indent="0" shrinkToFit="false" readingOrder="1"/>
      <protection locked="true" hidden="false"/>
    </xf>
    <xf numFmtId="164" fontId="16" fillId="0" borderId="0" xfId="0" applyFont="true" applyBorder="false" applyAlignment="true" applyProtection="false">
      <alignment horizontal="left" vertical="top" textRotation="0" wrapText="true" indent="0" shrinkToFit="false" readingOrder="1"/>
      <protection locked="true" hidden="false"/>
    </xf>
    <xf numFmtId="164" fontId="18" fillId="0" borderId="0" xfId="0" applyFont="true" applyBorder="true" applyAlignment="true" applyProtection="false">
      <alignment horizontal="left" vertical="top" textRotation="0" wrapText="true" indent="0" shrinkToFit="false" readingOrder="1"/>
      <protection locked="true" hidden="false"/>
    </xf>
    <xf numFmtId="164" fontId="20" fillId="0" borderId="2" xfId="0" applyFont="true" applyBorder="true" applyAlignment="true" applyProtection="false">
      <alignment horizontal="left" vertical="top" textRotation="0" wrapText="true" indent="0" shrinkToFit="false" readingOrder="1"/>
      <protection locked="true" hidden="false"/>
    </xf>
    <xf numFmtId="164" fontId="21" fillId="0" borderId="0" xfId="0" applyFont="true" applyBorder="true" applyAlignment="true" applyProtection="false">
      <alignment horizontal="left" vertical="top" textRotation="0" wrapText="true" indent="0" shrinkToFit="false" readingOrder="1"/>
      <protection locked="true" hidden="false"/>
    </xf>
    <xf numFmtId="164" fontId="22" fillId="3" borderId="0" xfId="0" applyFont="true" applyBorder="true" applyAlignment="true" applyProtection="false">
      <alignment horizontal="center" vertical="center" textRotation="0" wrapText="true" indent="0" shrinkToFit="false" readingOrder="2"/>
      <protection locked="true" hidden="false"/>
    </xf>
    <xf numFmtId="164" fontId="24" fillId="4" borderId="0" xfId="0" applyFont="true" applyBorder="false" applyAlignment="true" applyProtection="false">
      <alignment horizontal="general" vertical="center" textRotation="0" wrapText="true" indent="0" shrinkToFit="false" readingOrder="2"/>
      <protection locked="true" hidden="false"/>
    </xf>
    <xf numFmtId="164" fontId="25" fillId="4" borderId="0" xfId="0" applyFont="true" applyBorder="false" applyAlignment="true" applyProtection="false">
      <alignment horizontal="general" vertical="center" textRotation="0" wrapText="true" indent="0" shrinkToFit="false" readingOrder="2"/>
      <protection locked="true" hidden="false"/>
    </xf>
    <xf numFmtId="164" fontId="26" fillId="5" borderId="3" xfId="0" applyFont="true" applyBorder="true" applyAlignment="true" applyProtection="false">
      <alignment horizontal="right" vertical="center" textRotation="0" wrapText="true" indent="0" shrinkToFit="false" readingOrder="2"/>
      <protection locked="true" hidden="false"/>
    </xf>
    <xf numFmtId="164" fontId="25" fillId="4" borderId="0" xfId="0" applyFont="true" applyBorder="false" applyAlignment="true" applyProtection="false">
      <alignment horizontal="center" vertical="center" textRotation="0" wrapText="true" indent="0" shrinkToFit="false" readingOrder="2"/>
      <protection locked="true" hidden="false"/>
    </xf>
    <xf numFmtId="164" fontId="26" fillId="5" borderId="3" xfId="0" applyFont="true" applyBorder="true" applyAlignment="true" applyProtection="false">
      <alignment horizontal="center" vertical="center" textRotation="0" wrapText="true" indent="0" shrinkToFit="false" readingOrder="2"/>
      <protection locked="true" hidden="false"/>
    </xf>
    <xf numFmtId="164" fontId="25" fillId="4" borderId="0" xfId="0" applyFont="true" applyBorder="true" applyAlignment="true" applyProtection="false">
      <alignment horizontal="center" vertical="center" textRotation="0" wrapText="true" indent="0" shrinkToFit="false" readingOrder="2"/>
      <protection locked="true" hidden="false"/>
    </xf>
    <xf numFmtId="164" fontId="27" fillId="5" borderId="3" xfId="0" applyFont="true" applyBorder="true" applyAlignment="true" applyProtection="false">
      <alignment horizontal="right" vertical="center" textRotation="0" wrapText="true" indent="0" shrinkToFit="false" readingOrder="2"/>
      <protection locked="true" hidden="false"/>
    </xf>
    <xf numFmtId="164" fontId="27" fillId="5" borderId="3" xfId="0" applyFont="true" applyBorder="true" applyAlignment="true" applyProtection="false">
      <alignment horizontal="center" vertical="center" textRotation="0" wrapText="true" indent="0" shrinkToFit="false" readingOrder="2"/>
      <protection locked="true" hidden="false"/>
    </xf>
    <xf numFmtId="164" fontId="11" fillId="3" borderId="0" xfId="0" applyFont="true" applyBorder="false" applyAlignment="true" applyProtection="false">
      <alignment horizontal="center" vertical="center" textRotation="0" wrapText="true" indent="0" shrinkToFit="false" readingOrder="2"/>
      <protection locked="true" hidden="false"/>
    </xf>
    <xf numFmtId="164" fontId="28" fillId="3" borderId="0" xfId="0" applyFont="true" applyBorder="true" applyAlignment="true" applyProtection="false">
      <alignment horizontal="center" vertical="center" textRotation="0" wrapText="true" indent="0" shrinkToFit="false" readingOrder="2"/>
      <protection locked="true" hidden="false"/>
    </xf>
    <xf numFmtId="164" fontId="28" fillId="3" borderId="0" xfId="0" applyFont="true" applyBorder="false" applyAlignment="true" applyProtection="false">
      <alignment horizontal="center" vertical="center" textRotation="0" wrapText="true" indent="0" shrinkToFit="false" readingOrder="2"/>
      <protection locked="true" hidden="false"/>
    </xf>
    <xf numFmtId="164" fontId="24" fillId="4" borderId="1" xfId="0" applyFont="true" applyBorder="true" applyAlignment="true" applyProtection="false">
      <alignment horizontal="center" vertical="center" textRotation="0" wrapText="true" indent="0" shrinkToFit="false" readingOrder="2"/>
      <protection locked="true" hidden="false"/>
    </xf>
    <xf numFmtId="164" fontId="25" fillId="4" borderId="1" xfId="0" applyFont="true" applyBorder="true" applyAlignment="true" applyProtection="false">
      <alignment horizontal="center" vertical="center" textRotation="0" wrapText="true" indent="0" shrinkToFit="false" readingOrder="2"/>
      <protection locked="true" hidden="false"/>
    </xf>
    <xf numFmtId="165" fontId="27" fillId="0" borderId="4" xfId="0" applyFont="true" applyBorder="true" applyAlignment="true" applyProtection="false">
      <alignment horizontal="center" vertical="top" textRotation="0" wrapText="false" indent="0" shrinkToFit="false" readingOrder="2"/>
      <protection locked="true" hidden="false"/>
    </xf>
    <xf numFmtId="164" fontId="26" fillId="0" borderId="4" xfId="0" applyFont="true" applyBorder="true" applyAlignment="true" applyProtection="false">
      <alignment horizontal="right" vertical="top" textRotation="0" wrapText="true" indent="0" shrinkToFit="false" readingOrder="2"/>
      <protection locked="true" hidden="false"/>
    </xf>
    <xf numFmtId="164" fontId="26" fillId="0" borderId="1" xfId="0" applyFont="true" applyBorder="true" applyAlignment="true" applyProtection="false">
      <alignment horizontal="right" vertical="center" textRotation="0" wrapText="true" indent="0" shrinkToFit="false" readingOrder="2"/>
      <protection locked="true" hidden="false"/>
    </xf>
    <xf numFmtId="165" fontId="27" fillId="6" borderId="1" xfId="0" applyFont="true" applyBorder="true" applyAlignment="true" applyProtection="false">
      <alignment horizontal="center" vertical="center" textRotation="0" wrapText="true" indent="0" shrinkToFit="false" readingOrder="2"/>
      <protection locked="true" hidden="false"/>
    </xf>
    <xf numFmtId="164" fontId="26" fillId="0" borderId="1" xfId="0" applyFont="true" applyBorder="true" applyAlignment="true" applyProtection="false">
      <alignment horizontal="center" vertical="center" textRotation="0" wrapText="true" indent="0" shrinkToFit="false" readingOrder="2"/>
      <protection locked="true" hidden="false"/>
    </xf>
    <xf numFmtId="166" fontId="27" fillId="0" borderId="1" xfId="0" applyFont="true" applyBorder="true" applyAlignment="true" applyProtection="false">
      <alignment horizontal="center" vertical="center" textRotation="0" wrapText="false" indent="0" shrinkToFit="false" readingOrder="2"/>
      <protection locked="true" hidden="false"/>
    </xf>
    <xf numFmtId="164" fontId="27" fillId="0" borderId="1" xfId="0" applyFont="true" applyBorder="true" applyAlignment="true" applyProtection="false">
      <alignment horizontal="center" vertical="center" textRotation="0" wrapText="false" indent="0" shrinkToFit="false" readingOrder="2"/>
      <protection locked="true" hidden="false"/>
    </xf>
    <xf numFmtId="164" fontId="27" fillId="6" borderId="1" xfId="0" applyFont="true" applyBorder="true" applyAlignment="true" applyProtection="false">
      <alignment horizontal="center" vertical="center" textRotation="0" wrapText="false" indent="0" shrinkToFit="false" readingOrder="2"/>
      <protection locked="true" hidden="false"/>
    </xf>
    <xf numFmtId="166" fontId="27" fillId="6" borderId="1" xfId="0" applyFont="true" applyBorder="true" applyAlignment="true" applyProtection="false">
      <alignment horizontal="center" vertical="center" textRotation="0" wrapText="false" indent="0" shrinkToFit="false" readingOrder="2"/>
      <protection locked="true" hidden="false"/>
    </xf>
    <xf numFmtId="164" fontId="30" fillId="3" borderId="0" xfId="0" applyFont="true" applyBorder="true" applyAlignment="true" applyProtection="false">
      <alignment horizontal="center" vertical="center" textRotation="0" wrapText="true" indent="0" shrinkToFit="false" readingOrder="2"/>
      <protection locked="true" hidden="false"/>
    </xf>
    <xf numFmtId="166" fontId="31" fillId="3" borderId="0" xfId="0" applyFont="true" applyBorder="false" applyAlignment="true" applyProtection="false">
      <alignment horizontal="center" vertical="center" textRotation="0" wrapText="false" indent="0" shrinkToFit="false" readingOrder="2"/>
      <protection locked="true" hidden="false"/>
    </xf>
    <xf numFmtId="164" fontId="31" fillId="3" borderId="0" xfId="0" applyFont="true" applyBorder="false" applyAlignment="true" applyProtection="false">
      <alignment horizontal="center" vertical="center" textRotation="0" wrapText="false" indent="0" shrinkToFit="false" readingOrder="2"/>
      <protection locked="true" hidden="false"/>
    </xf>
    <xf numFmtId="166" fontId="29" fillId="3" borderId="0" xfId="0" applyFont="true" applyBorder="false" applyAlignment="true" applyProtection="false">
      <alignment horizontal="center" vertical="center" textRotation="0" wrapText="false" indent="0" shrinkToFit="false" readingOrder="2"/>
      <protection locked="true" hidden="false"/>
    </xf>
    <xf numFmtId="164" fontId="29" fillId="3" borderId="0" xfId="0" applyFont="true" applyBorder="false" applyAlignment="true" applyProtection="false">
      <alignment horizontal="center" vertical="center" textRotation="0" wrapText="false" indent="0" shrinkToFit="false" readingOrder="2"/>
      <protection locked="true" hidden="false"/>
    </xf>
    <xf numFmtId="164" fontId="4" fillId="2" borderId="1" xfId="0" applyFont="true" applyBorder="true" applyAlignment="true" applyProtection="false">
      <alignment horizontal="center" vertical="center" textRotation="0" wrapText="true" indent="0" shrinkToFit="false" readingOrder="2"/>
      <protection locked="true" hidden="false"/>
    </xf>
    <xf numFmtId="164" fontId="22" fillId="3" borderId="1" xfId="0" applyFont="true" applyBorder="true" applyAlignment="true" applyProtection="false">
      <alignment horizontal="center" vertical="center" textRotation="0" wrapText="true" indent="0" shrinkToFit="false" readingOrder="2"/>
      <protection locked="true" hidden="false"/>
    </xf>
    <xf numFmtId="165" fontId="9" fillId="0" borderId="1" xfId="0" applyFont="true" applyBorder="true" applyAlignment="true" applyProtection="false">
      <alignment horizontal="center" vertical="center" textRotation="0" wrapText="true" indent="0" shrinkToFit="false" readingOrder="2"/>
      <protection locked="true" hidden="false"/>
    </xf>
    <xf numFmtId="164" fontId="9" fillId="0" borderId="1" xfId="0" applyFont="true" applyBorder="true" applyAlignment="true" applyProtection="false">
      <alignment horizontal="center" vertical="center" textRotation="0" wrapText="true" indent="0" shrinkToFit="false" readingOrder="2"/>
      <protection locked="true" hidden="false"/>
    </xf>
    <xf numFmtId="164" fontId="32" fillId="0" borderId="1" xfId="0" applyFont="true" applyBorder="true" applyAlignment="true" applyProtection="false">
      <alignment horizontal="center" vertical="center" textRotation="0" wrapText="true" indent="0" shrinkToFit="false" readingOrder="2"/>
      <protection locked="true" hidden="false"/>
    </xf>
    <xf numFmtId="164" fontId="10" fillId="3" borderId="1" xfId="0" applyFont="true" applyBorder="true" applyAlignment="true" applyProtection="false">
      <alignment horizontal="center" vertical="center" textRotation="0" wrapText="true" indent="0" shrinkToFit="false" readingOrder="2"/>
      <protection locked="true" hidden="false"/>
    </xf>
    <xf numFmtId="164" fontId="27" fillId="4" borderId="1" xfId="0" applyFont="true" applyBorder="true" applyAlignment="true" applyProtection="false">
      <alignment horizontal="center" vertical="center" textRotation="0" wrapText="true" indent="0" shrinkToFit="false" readingOrder="2"/>
      <protection locked="true" hidden="false"/>
    </xf>
    <xf numFmtId="164" fontId="26" fillId="4" borderId="1" xfId="0" applyFont="true" applyBorder="true" applyAlignment="true" applyProtection="false">
      <alignment horizontal="center" vertical="center" textRotation="0" wrapText="true" indent="0" shrinkToFit="false" readingOrder="2"/>
      <protection locked="true" hidden="false"/>
    </xf>
    <xf numFmtId="165" fontId="34" fillId="0" borderId="1" xfId="0" applyFont="true" applyBorder="true" applyAlignment="true" applyProtection="false">
      <alignment horizontal="center" vertical="center" textRotation="0" wrapText="true" indent="0" shrinkToFit="false" readingOrder="2"/>
      <protection locked="true" hidden="false"/>
    </xf>
    <xf numFmtId="164" fontId="27" fillId="0" borderId="1" xfId="0" applyFont="true" applyBorder="true" applyAlignment="true" applyProtection="false">
      <alignment horizontal="center" vertical="center" textRotation="0" wrapText="true" indent="0" shrinkToFit="false" readingOrder="2"/>
      <protection locked="true" hidden="false"/>
    </xf>
    <xf numFmtId="167" fontId="27" fillId="0" borderId="1" xfId="0" applyFont="true" applyBorder="true" applyAlignment="true" applyProtection="false">
      <alignment horizontal="center" vertical="center" textRotation="0" wrapText="true" indent="0" shrinkToFit="false" readingOrder="2"/>
      <protection locked="true" hidden="false"/>
    </xf>
    <xf numFmtId="168" fontId="27" fillId="6" borderId="1" xfId="0" applyFont="true" applyBorder="true" applyAlignment="true" applyProtection="false">
      <alignment horizontal="center" vertical="center" textRotation="0" wrapText="true" indent="0" shrinkToFit="false" readingOrder="2"/>
      <protection locked="true" hidden="false"/>
    </xf>
    <xf numFmtId="169" fontId="27" fillId="0" borderId="1" xfId="0" applyFont="true" applyBorder="true" applyAlignment="true" applyProtection="false">
      <alignment horizontal="center" vertical="center" textRotation="0" wrapText="true" indent="0" shrinkToFit="false" readingOrder="2"/>
      <protection locked="true" hidden="false"/>
    </xf>
    <xf numFmtId="164" fontId="35" fillId="7" borderId="1" xfId="0" applyFont="true" applyBorder="true" applyAlignment="true" applyProtection="false">
      <alignment horizontal="center" vertical="center" textRotation="0" wrapText="true" indent="0" shrinkToFit="false" readingOrder="2"/>
      <protection locked="true" hidden="false"/>
    </xf>
    <xf numFmtId="167" fontId="36" fillId="7" borderId="1" xfId="0" applyFont="true" applyBorder="true" applyAlignment="true" applyProtection="false">
      <alignment horizontal="center" vertical="center" textRotation="0" wrapText="true" indent="0" shrinkToFit="false" readingOrder="2"/>
      <protection locked="true" hidden="false"/>
    </xf>
    <xf numFmtId="168" fontId="36" fillId="7" borderId="1" xfId="0" applyFont="true" applyBorder="true" applyAlignment="true" applyProtection="false">
      <alignment horizontal="center" vertical="center" textRotation="0" wrapText="true" indent="0" shrinkToFit="false" readingOrder="2"/>
      <protection locked="true" hidden="false"/>
    </xf>
    <xf numFmtId="164" fontId="36" fillId="7" borderId="1" xfId="0" applyFont="true" applyBorder="true" applyAlignment="true" applyProtection="false">
      <alignment horizontal="center" vertical="center" textRotation="0" wrapText="true" indent="0" shrinkToFit="false" readingOrder="2"/>
      <protection locked="true" hidden="false"/>
    </xf>
    <xf numFmtId="164" fontId="30" fillId="8" borderId="1" xfId="0" applyFont="true" applyBorder="true" applyAlignment="true" applyProtection="false">
      <alignment horizontal="center" vertical="center" textRotation="0" wrapText="true" indent="0" shrinkToFit="false" readingOrder="2"/>
      <protection locked="true" hidden="false"/>
    </xf>
    <xf numFmtId="167" fontId="31" fillId="8" borderId="1" xfId="0" applyFont="true" applyBorder="true" applyAlignment="true" applyProtection="false">
      <alignment horizontal="center" vertical="center" textRotation="0" wrapText="true" indent="0" shrinkToFit="false" readingOrder="2"/>
      <protection locked="true" hidden="false"/>
    </xf>
    <xf numFmtId="168" fontId="31" fillId="8" borderId="1" xfId="0" applyFont="true" applyBorder="true" applyAlignment="true" applyProtection="false">
      <alignment horizontal="center" vertical="center" textRotation="0" wrapText="true" indent="0" shrinkToFit="false" readingOrder="2"/>
      <protection locked="true" hidden="false"/>
    </xf>
    <xf numFmtId="164" fontId="31" fillId="8" borderId="1" xfId="0" applyFont="true" applyBorder="true" applyAlignment="true" applyProtection="false">
      <alignment horizontal="center" vertical="center" textRotation="0" wrapText="true" indent="0" shrinkToFit="false" readingOrder="2"/>
      <protection locked="true" hidden="false"/>
    </xf>
    <xf numFmtId="164" fontId="30" fillId="3" borderId="1" xfId="0" applyFont="true" applyBorder="true" applyAlignment="true" applyProtection="false">
      <alignment horizontal="center" vertical="center" textRotation="0" wrapText="true" indent="0" shrinkToFit="false" readingOrder="2"/>
      <protection locked="true" hidden="false"/>
    </xf>
    <xf numFmtId="167" fontId="31" fillId="3" borderId="1" xfId="0" applyFont="true" applyBorder="true" applyAlignment="true" applyProtection="false">
      <alignment horizontal="center" vertical="center" textRotation="0" wrapText="true" indent="0" shrinkToFit="false" readingOrder="2"/>
      <protection locked="true" hidden="false"/>
    </xf>
    <xf numFmtId="168" fontId="31" fillId="3" borderId="1" xfId="0" applyFont="true" applyBorder="true" applyAlignment="true" applyProtection="false">
      <alignment horizontal="center" vertical="center" textRotation="0" wrapText="true" indent="0" shrinkToFit="false" readingOrder="2"/>
      <protection locked="true" hidden="false"/>
    </xf>
    <xf numFmtId="164" fontId="31" fillId="3" borderId="1" xfId="0" applyFont="true" applyBorder="true" applyAlignment="true" applyProtection="false">
      <alignment horizontal="center" vertical="center" textRotation="0" wrapText="true" indent="0" shrinkToFit="false" readingOrder="2"/>
      <protection locked="true" hidden="false"/>
    </xf>
    <xf numFmtId="164" fontId="4" fillId="2" borderId="5" xfId="0" applyFont="true" applyBorder="true" applyAlignment="true" applyProtection="false">
      <alignment horizontal="center" vertical="center" textRotation="0" wrapText="true" indent="0" shrinkToFit="false" readingOrder="2"/>
      <protection locked="true" hidden="false"/>
    </xf>
    <xf numFmtId="164" fontId="22" fillId="3" borderId="6" xfId="0" applyFont="true" applyBorder="true" applyAlignment="true" applyProtection="false">
      <alignment horizontal="center" vertical="center" textRotation="0" wrapText="true" indent="0" shrinkToFit="false" readingOrder="2"/>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4" fontId="37" fillId="4" borderId="8" xfId="0" applyFont="true" applyBorder="true" applyAlignment="true" applyProtection="false">
      <alignment horizontal="center" vertical="center" textRotation="0" wrapText="true" indent="0" shrinkToFit="false"/>
      <protection locked="true" hidden="false"/>
    </xf>
    <xf numFmtId="164" fontId="39" fillId="4" borderId="8" xfId="0" applyFont="true" applyBorder="true" applyAlignment="true" applyProtection="false">
      <alignment horizontal="center" vertical="center" textRotation="0" wrapText="false" indent="0" shrinkToFit="false"/>
      <protection locked="true" hidden="false"/>
    </xf>
    <xf numFmtId="164" fontId="39" fillId="4" borderId="8" xfId="0" applyFont="true" applyBorder="true" applyAlignment="true" applyProtection="false">
      <alignment horizontal="center" vertical="center" textRotation="0" wrapText="true" indent="0" shrinkToFit="false"/>
      <protection locked="true" hidden="false"/>
    </xf>
    <xf numFmtId="165" fontId="38" fillId="0" borderId="9" xfId="0" applyFont="true" applyBorder="true" applyAlignment="true" applyProtection="false">
      <alignment horizontal="center" vertical="center" textRotation="0" wrapText="true" indent="0" shrinkToFit="false"/>
      <protection locked="true" hidden="false"/>
    </xf>
    <xf numFmtId="164" fontId="41" fillId="0" borderId="9" xfId="0" applyFont="true" applyBorder="true" applyAlignment="true" applyProtection="false">
      <alignment horizontal="center" vertical="bottom" textRotation="0" wrapText="false" indent="0" shrinkToFit="false"/>
      <protection locked="true" hidden="false"/>
    </xf>
    <xf numFmtId="164" fontId="41" fillId="0" borderId="8" xfId="0" applyFont="true" applyBorder="true" applyAlignment="true" applyProtection="false">
      <alignment horizontal="center" vertical="bottom" textRotation="0" wrapText="false" indent="0" shrinkToFit="false"/>
      <protection locked="true" hidden="false"/>
    </xf>
    <xf numFmtId="164" fontId="22" fillId="3" borderId="5" xfId="0" applyFont="true" applyBorder="true" applyAlignment="true" applyProtection="false">
      <alignment horizontal="center" vertical="center" textRotation="0" wrapText="true" indent="0" shrinkToFit="false" readingOrder="2"/>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10" fillId="3" borderId="5" xfId="0" applyFont="true" applyBorder="true" applyAlignment="true" applyProtection="false">
      <alignment horizontal="center" vertical="center" textRotation="0" wrapText="true" indent="0" shrinkToFit="false" readingOrder="2"/>
      <protection locked="true" hidden="false"/>
    </xf>
    <xf numFmtId="164" fontId="38" fillId="4" borderId="8" xfId="0" applyFont="true" applyBorder="true" applyAlignment="true" applyProtection="false">
      <alignment horizontal="center" vertical="center" textRotation="0" wrapText="true" indent="0" shrinkToFit="false"/>
      <protection locked="true" hidden="false"/>
    </xf>
    <xf numFmtId="164" fontId="34" fillId="0" borderId="10" xfId="0" applyFont="true" applyBorder="true" applyAlignment="true" applyProtection="false">
      <alignment horizontal="center" vertical="center" textRotation="0" wrapText="true" indent="0" shrinkToFit="false" readingOrder="2"/>
      <protection locked="true" hidden="false"/>
    </xf>
    <xf numFmtId="164" fontId="43" fillId="0" borderId="10" xfId="0" applyFont="true" applyBorder="true" applyAlignment="true" applyProtection="false">
      <alignment horizontal="right" vertical="center" textRotation="0" wrapText="true" indent="0" shrinkToFit="false" readingOrder="2"/>
      <protection locked="true" hidden="false"/>
    </xf>
    <xf numFmtId="168" fontId="27" fillId="0" borderId="10" xfId="0" applyFont="true" applyBorder="true" applyAlignment="true" applyProtection="false">
      <alignment horizontal="center" vertical="center" textRotation="0" wrapText="true" indent="0" shrinkToFit="false" readingOrder="2"/>
      <protection locked="true" hidden="false"/>
    </xf>
    <xf numFmtId="168" fontId="27" fillId="6" borderId="10" xfId="0" applyFont="true" applyBorder="true" applyAlignment="true" applyProtection="false">
      <alignment horizontal="center" vertical="center" textRotation="0" wrapText="true" indent="0" shrinkToFit="false" readingOrder="2"/>
      <protection locked="true" hidden="false"/>
    </xf>
    <xf numFmtId="165" fontId="27" fillId="6" borderId="10" xfId="0" applyFont="true" applyBorder="true" applyAlignment="true" applyProtection="false">
      <alignment horizontal="center" vertical="center" textRotation="0" wrapText="true" indent="0" shrinkToFit="false" readingOrder="2"/>
      <protection locked="true" hidden="false"/>
    </xf>
    <xf numFmtId="164" fontId="27" fillId="0" borderId="10" xfId="0" applyFont="true" applyBorder="true" applyAlignment="true" applyProtection="false">
      <alignment horizontal="right" vertical="center" textRotation="0" wrapText="true" indent="0" shrinkToFit="false" readingOrder="2"/>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30" fillId="3" borderId="5" xfId="0" applyFont="true" applyBorder="true" applyAlignment="true" applyProtection="false">
      <alignment horizontal="center" vertical="center" textRotation="0" wrapText="true" indent="0" shrinkToFit="false" readingOrder="2"/>
      <protection locked="true" hidden="false"/>
    </xf>
    <xf numFmtId="168" fontId="45" fillId="3" borderId="10" xfId="0" applyFont="true" applyBorder="true" applyAlignment="true" applyProtection="false">
      <alignment horizontal="center" vertical="center" textRotation="0" wrapText="true" indent="0" shrinkToFit="false" readingOrder="2"/>
      <protection locked="true" hidden="false"/>
    </xf>
    <xf numFmtId="164" fontId="0" fillId="10" borderId="5" xfId="0" applyFont="true" applyBorder="true" applyAlignment="false" applyProtection="false">
      <alignment horizontal="general" vertical="bottom" textRotation="0" wrapText="false" indent="0" shrinkToFit="false"/>
      <protection locked="true" hidden="false"/>
    </xf>
    <xf numFmtId="167" fontId="27" fillId="6" borderId="10" xfId="0" applyFont="true" applyBorder="true" applyAlignment="true" applyProtection="false">
      <alignment horizontal="center" vertical="center" textRotation="0" wrapText="true" indent="0" shrinkToFit="false" readingOrder="2"/>
      <protection locked="true" hidden="false"/>
    </xf>
    <xf numFmtId="170" fontId="27" fillId="0" borderId="10" xfId="0" applyFont="true" applyBorder="true" applyAlignment="true" applyProtection="false">
      <alignment horizontal="center" vertical="center" textRotation="0" wrapText="true" indent="0" shrinkToFit="false" readingOrder="2"/>
      <protection locked="true" hidden="false"/>
    </xf>
    <xf numFmtId="164" fontId="46" fillId="10" borderId="11" xfId="0" applyFont="true" applyBorder="true" applyAlignment="true" applyProtection="false">
      <alignment horizontal="general" vertical="center" textRotation="0" wrapText="true" indent="0" shrinkToFit="false"/>
      <protection locked="true" hidden="false"/>
    </xf>
    <xf numFmtId="164" fontId="34" fillId="0" borderId="0" xfId="0" applyFont="true" applyBorder="false" applyAlignment="true" applyProtection="false">
      <alignment horizontal="center" vertical="center" textRotation="0" wrapText="true" indent="0" shrinkToFit="false" readingOrder="2"/>
      <protection locked="true" hidden="false"/>
    </xf>
    <xf numFmtId="164" fontId="44" fillId="0" borderId="0" xfId="0" applyFont="true" applyBorder="false" applyAlignment="true" applyProtection="false">
      <alignment horizontal="right" vertical="center" textRotation="0" wrapText="true" indent="0" shrinkToFit="false" readingOrder="2"/>
      <protection locked="true" hidden="false"/>
    </xf>
    <xf numFmtId="170" fontId="27" fillId="0" borderId="0" xfId="0" applyFont="true" applyBorder="false" applyAlignment="true" applyProtection="false">
      <alignment horizontal="center" vertical="center" textRotation="0" wrapText="true" indent="0" shrinkToFit="false" readingOrder="2"/>
      <protection locked="true" hidden="false"/>
    </xf>
    <xf numFmtId="164" fontId="27" fillId="0" borderId="0" xfId="0" applyFont="true" applyBorder="false" applyAlignment="true" applyProtection="false">
      <alignment horizontal="right" vertical="center" textRotation="0" wrapText="true" indent="0" shrinkToFit="false" readingOrder="2"/>
      <protection locked="true" hidden="false"/>
    </xf>
    <xf numFmtId="164" fontId="46" fillId="10" borderId="11" xfId="0" applyFont="true" applyBorder="true" applyAlignment="true" applyProtection="false">
      <alignment horizontal="right" vertical="center" textRotation="0" wrapText="true" indent="0" shrinkToFit="false"/>
      <protection locked="true" hidden="false"/>
    </xf>
    <xf numFmtId="164" fontId="26" fillId="0" borderId="10" xfId="0" applyFont="true" applyBorder="true" applyAlignment="true" applyProtection="false">
      <alignment horizontal="right" vertical="center" textRotation="0" wrapText="true" indent="0" shrinkToFit="false" readingOrder="2"/>
      <protection locked="true" hidden="false"/>
    </xf>
    <xf numFmtId="164" fontId="26" fillId="0" borderId="10" xfId="0" applyFont="true" applyBorder="true" applyAlignment="true" applyProtection="false">
      <alignment horizontal="center" vertical="center" textRotation="0" wrapText="true" indent="0" shrinkToFit="false" readingOrder="2"/>
      <protection locked="true" hidden="false"/>
    </xf>
    <xf numFmtId="169" fontId="27" fillId="0" borderId="10" xfId="0" applyFont="true" applyBorder="true" applyAlignment="true" applyProtection="false">
      <alignment horizontal="right" vertical="center" textRotation="0" wrapText="true" indent="0" shrinkToFit="false" readingOrder="2"/>
      <protection locked="true" hidden="false"/>
    </xf>
    <xf numFmtId="171" fontId="27" fillId="0" borderId="10" xfId="0" applyFont="true" applyBorder="true" applyAlignment="true" applyProtection="false">
      <alignment horizontal="center" vertical="center" textRotation="0" wrapText="true" indent="0" shrinkToFit="false" readingOrder="2"/>
      <protection locked="true" hidden="false"/>
    </xf>
    <xf numFmtId="164" fontId="10" fillId="3" borderId="12" xfId="0" applyFont="true" applyBorder="true" applyAlignment="true" applyProtection="false">
      <alignment horizontal="center" vertical="center" textRotation="0" wrapText="true" indent="0" shrinkToFit="false" readingOrder="2"/>
      <protection locked="true" hidden="false"/>
    </xf>
    <xf numFmtId="164" fontId="42" fillId="0" borderId="10"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right" vertical="center" textRotation="0" wrapText="true" indent="0" shrinkToFit="false" readingOrder="2"/>
      <protection locked="true" hidden="false"/>
    </xf>
    <xf numFmtId="164" fontId="27" fillId="0" borderId="0" xfId="0" applyFont="true" applyBorder="false" applyAlignment="true" applyProtection="false">
      <alignment horizontal="center" vertical="center" textRotation="0" wrapText="true" indent="0" shrinkToFit="false" readingOrder="2"/>
      <protection locked="true" hidden="false"/>
    </xf>
    <xf numFmtId="172" fontId="27" fillId="0" borderId="0" xfId="0" applyFont="true" applyBorder="false" applyAlignment="true" applyProtection="false">
      <alignment horizontal="right" vertical="center" textRotation="0" wrapText="true" indent="0" shrinkToFit="false" readingOrder="2"/>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border diagonalUp="false" diagonalDown="false">
        <left/>
        <right/>
        <top style="thin">
          <color rgb="FFD0D0D0"/>
        </top>
        <bottom/>
        <diagonal/>
      </border>
    </dxf>
    <dxf>
      <font>
        <color rgb="FF9C0006"/>
      </font>
      <fill>
        <patternFill>
          <bgColor rgb="FFFFC7CE"/>
        </patternFill>
      </fill>
    </dxf>
    <dxf>
      <fill>
        <patternFill patternType="solid">
          <fgColor rgb="FFDAF2D0"/>
          <bgColor rgb="FF000000"/>
        </patternFill>
      </fill>
    </dxf>
    <dxf>
      <fill>
        <patternFill patternType="solid">
          <fgColor rgb="FFEEF6EA"/>
          <bgColor rgb="FF000000"/>
        </patternFill>
      </fill>
    </dxf>
    <dxf>
      <fill>
        <patternFill patternType="solid">
          <bgColor rgb="FF000000"/>
        </patternFill>
      </fill>
    </dxf>
    <dxf>
      <fill>
        <patternFill patternType="solid">
          <fgColor rgb="FF000000"/>
          <bgColor rgb="FF000000"/>
        </patternFill>
      </fill>
    </dxf>
    <dxf>
      <fill>
        <patternFill patternType="solid">
          <fgColor rgb="FF9E9E9E"/>
          <bgColor rgb="FF000000"/>
        </patternFill>
      </fill>
    </dxf>
    <dxf>
      <fill>
        <patternFill patternType="solid">
          <fgColor rgb="FFDEFAF9"/>
          <bgColor rgb="FF000000"/>
        </patternFill>
      </fill>
    </dxf>
    <dxf>
      <fill>
        <patternFill>
          <bgColor rgb="FFEEF6EA"/>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137B79"/>
      <rgbColor rgb="FFBDBDBD"/>
      <rgbColor rgb="FF5B84CF"/>
      <rgbColor rgb="FFAAAAAA"/>
      <rgbColor rgb="FF5D4037"/>
      <rgbColor rgb="FFEEF6EA"/>
      <rgbColor rgb="FFDEFAF9"/>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BF3FB"/>
      <rgbColor rgb="FFDAF2D0"/>
      <rgbColor rgb="FFEEECE1"/>
      <rgbColor rgb="FFC8DCC1"/>
      <rgbColor rgb="FFF2F6FC"/>
      <rgbColor rgb="FFCC99FF"/>
      <rgbColor rgb="FFFFC7CE"/>
      <rgbColor rgb="FF4472C4"/>
      <rgbColor rgb="FF33CCCC"/>
      <rgbColor rgb="FF99CC00"/>
      <rgbColor rgb="FFFFCC00"/>
      <rgbColor rgb="FFFF9900"/>
      <rgbColor rgb="FFFF6600"/>
      <rgbColor rgb="FF595959"/>
      <rgbColor rgb="FF9E9E9E"/>
      <rgbColor rgb="FF003366"/>
      <rgbColor rgb="FF339966"/>
      <rgbColor rgb="FF003300"/>
      <rgbColor rgb="FF212121"/>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F110"/>
  <sheetViews>
    <sheetView showFormulas="false" showGridLines="false" showRowColHeaders="true" showZeros="true" rightToLeft="true" tabSelected="false" showOutlineSymbols="true" defaultGridColor="true" view="normal" topLeftCell="A1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4" min="3" style="0" width="30"/>
    <col collapsed="false" customWidth="true" hidden="false" outlineLevel="0" max="5" min="5" style="0" width="28"/>
    <col collapsed="false" customWidth="true" hidden="false" outlineLevel="0" max="6" min="6" style="0" width="42"/>
    <col collapsed="false" customWidth="true" hidden="false" outlineLevel="0" max="7" min="7" style="0" width="3"/>
  </cols>
  <sheetData>
    <row r="1" customFormat="false" ht="51.75" hidden="false" customHeight="true" outlineLevel="0" collapsed="false">
      <c r="B1" s="1" t="s">
        <v>0</v>
      </c>
      <c r="C1" s="1"/>
      <c r="D1" s="1"/>
      <c r="E1" s="1"/>
      <c r="F1" s="1"/>
    </row>
    <row r="2" customFormat="false" ht="36" hidden="false" customHeight="true" outlineLevel="0" collapsed="false">
      <c r="B2" s="2" t="s">
        <v>1</v>
      </c>
      <c r="C2" s="2"/>
      <c r="D2" s="2"/>
      <c r="E2" s="2"/>
      <c r="F2" s="2"/>
    </row>
    <row r="3" customFormat="false" ht="13.5" hidden="false" customHeight="true" outlineLevel="0" collapsed="false"/>
    <row r="4" customFormat="false" ht="26.25" hidden="false" customHeight="true" outlineLevel="0" collapsed="false">
      <c r="B4" s="3" t="s">
        <v>2</v>
      </c>
      <c r="C4" s="3"/>
      <c r="D4" s="3"/>
      <c r="E4" s="3"/>
      <c r="F4" s="3"/>
    </row>
    <row r="5" customFormat="false" ht="81.75" hidden="false" customHeight="true" outlineLevel="0" collapsed="false">
      <c r="B5" s="3" t="s">
        <v>3</v>
      </c>
      <c r="C5" s="3"/>
      <c r="D5" s="3"/>
      <c r="E5" s="3"/>
      <c r="F5" s="3"/>
    </row>
    <row r="6" customFormat="false" ht="13.5" hidden="false" customHeight="true" outlineLevel="0" collapsed="false"/>
    <row r="7" customFormat="false" ht="29.25" hidden="false" customHeight="true" outlineLevel="0" collapsed="false">
      <c r="B7" s="4" t="s">
        <v>4</v>
      </c>
      <c r="C7" s="4"/>
      <c r="D7" s="4"/>
      <c r="E7" s="4"/>
      <c r="F7" s="4"/>
    </row>
    <row r="8" customFormat="false" ht="6" hidden="false" customHeight="true" outlineLevel="0" collapsed="false"/>
    <row r="9" customFormat="false" ht="26.25" hidden="false" customHeight="true" outlineLevel="0" collapsed="false">
      <c r="B9" s="3" t="s">
        <v>5</v>
      </c>
      <c r="C9" s="3"/>
      <c r="D9" s="3"/>
      <c r="E9" s="3"/>
      <c r="F9" s="3"/>
    </row>
    <row r="10" customFormat="false" ht="30" hidden="false" customHeight="true" outlineLevel="0" collapsed="false">
      <c r="B10" s="5" t="s">
        <v>6</v>
      </c>
      <c r="C10" s="5" t="s">
        <v>7</v>
      </c>
      <c r="D10" s="5"/>
      <c r="E10" s="5"/>
      <c r="F10" s="5" t="s">
        <v>8</v>
      </c>
    </row>
    <row r="11" customFormat="false" ht="51.75" hidden="false" customHeight="true" outlineLevel="0" collapsed="false">
      <c r="B11" s="6" t="s">
        <v>9</v>
      </c>
      <c r="C11" s="7" t="s">
        <v>10</v>
      </c>
      <c r="D11" s="7"/>
      <c r="E11" s="7"/>
      <c r="F11" s="7" t="s">
        <v>11</v>
      </c>
    </row>
    <row r="12" customFormat="false" ht="72.75" hidden="false" customHeight="true" outlineLevel="0" collapsed="false">
      <c r="B12" s="7" t="s">
        <v>12</v>
      </c>
      <c r="C12" s="7" t="s">
        <v>13</v>
      </c>
      <c r="D12" s="7"/>
      <c r="E12" s="7"/>
      <c r="F12" s="7" t="s">
        <v>14</v>
      </c>
    </row>
    <row r="13" customFormat="false" ht="51.75" hidden="false" customHeight="true" outlineLevel="0" collapsed="false">
      <c r="B13" s="7" t="s">
        <v>15</v>
      </c>
      <c r="C13" s="7" t="s">
        <v>16</v>
      </c>
      <c r="D13" s="7"/>
      <c r="E13" s="7"/>
      <c r="F13" s="7" t="s">
        <v>17</v>
      </c>
    </row>
    <row r="14" customFormat="false" ht="30" hidden="false" customHeight="true" outlineLevel="0" collapsed="false">
      <c r="B14" s="6" t="s">
        <v>18</v>
      </c>
      <c r="C14" s="7" t="s">
        <v>19</v>
      </c>
      <c r="D14" s="7"/>
      <c r="E14" s="7"/>
      <c r="F14" s="7" t="s">
        <v>20</v>
      </c>
    </row>
    <row r="15" customFormat="false" ht="6" hidden="false" customHeight="true" outlineLevel="0" collapsed="false"/>
    <row r="16" customFormat="false" ht="81.75" hidden="false" customHeight="true" outlineLevel="0" collapsed="false">
      <c r="B16" s="8" t="s">
        <v>21</v>
      </c>
      <c r="C16" s="3" t="s">
        <v>22</v>
      </c>
      <c r="D16" s="3"/>
      <c r="E16" s="3"/>
      <c r="F16" s="3"/>
    </row>
    <row r="17" customFormat="false" ht="45" hidden="false" customHeight="true" outlineLevel="0" collapsed="false">
      <c r="B17" s="8" t="s">
        <v>23</v>
      </c>
      <c r="C17" s="3" t="s">
        <v>24</v>
      </c>
      <c r="D17" s="3"/>
      <c r="E17" s="3"/>
      <c r="F17" s="3"/>
    </row>
    <row r="18" customFormat="false" ht="13.5" hidden="false" customHeight="true" outlineLevel="0" collapsed="false"/>
    <row r="19" customFormat="false" ht="29.25" hidden="false" customHeight="true" outlineLevel="0" collapsed="false">
      <c r="B19" s="4" t="s">
        <v>25</v>
      </c>
      <c r="C19" s="4"/>
      <c r="D19" s="4"/>
      <c r="E19" s="4"/>
      <c r="F19" s="4"/>
    </row>
    <row r="20" customFormat="false" ht="6" hidden="false" customHeight="true" outlineLevel="0" collapsed="false"/>
    <row r="21" customFormat="false" ht="26.25" hidden="false" customHeight="true" outlineLevel="0" collapsed="false">
      <c r="B21" s="8" t="s">
        <v>26</v>
      </c>
      <c r="C21" s="3" t="s">
        <v>27</v>
      </c>
      <c r="D21" s="3"/>
      <c r="E21" s="3"/>
      <c r="F21" s="3"/>
    </row>
    <row r="22" customFormat="false" ht="45" hidden="false" customHeight="true" outlineLevel="0" collapsed="false">
      <c r="B22" s="8" t="s">
        <v>28</v>
      </c>
      <c r="C22" s="3" t="s">
        <v>29</v>
      </c>
      <c r="D22" s="3"/>
      <c r="E22" s="3"/>
      <c r="F22" s="3"/>
    </row>
    <row r="23" customFormat="false" ht="45" hidden="false" customHeight="true" outlineLevel="0" collapsed="false">
      <c r="B23" s="8" t="s">
        <v>30</v>
      </c>
      <c r="C23" s="3" t="s">
        <v>31</v>
      </c>
      <c r="D23" s="3"/>
      <c r="E23" s="3"/>
      <c r="F23" s="3"/>
    </row>
    <row r="24" customFormat="false" ht="45" hidden="false" customHeight="true" outlineLevel="0" collapsed="false">
      <c r="B24" s="8" t="s">
        <v>32</v>
      </c>
      <c r="C24" s="3" t="s">
        <v>33</v>
      </c>
      <c r="D24" s="3"/>
      <c r="E24" s="3"/>
      <c r="F24" s="3"/>
    </row>
    <row r="25" customFormat="false" ht="13.5" hidden="false" customHeight="true" outlineLevel="0" collapsed="false"/>
    <row r="26" customFormat="false" ht="29.25" hidden="false" customHeight="true" outlineLevel="0" collapsed="false">
      <c r="B26" s="4" t="s">
        <v>34</v>
      </c>
      <c r="C26" s="4"/>
      <c r="D26" s="4"/>
      <c r="E26" s="4"/>
      <c r="F26" s="4"/>
    </row>
    <row r="27" customFormat="false" ht="6" hidden="false" customHeight="true" outlineLevel="0" collapsed="false"/>
    <row r="28" customFormat="false" ht="45" hidden="false" customHeight="true" outlineLevel="0" collapsed="false">
      <c r="B28" s="3" t="s">
        <v>35</v>
      </c>
      <c r="C28" s="3"/>
      <c r="D28" s="3"/>
      <c r="E28" s="3"/>
      <c r="F28" s="3"/>
    </row>
    <row r="29" customFormat="false" ht="30" hidden="false" customHeight="true" outlineLevel="0" collapsed="false">
      <c r="B29" s="5" t="s">
        <v>36</v>
      </c>
      <c r="C29" s="5" t="s">
        <v>37</v>
      </c>
      <c r="D29" s="5" t="s">
        <v>38</v>
      </c>
      <c r="E29" s="5"/>
      <c r="F29" s="5" t="s">
        <v>39</v>
      </c>
    </row>
    <row r="30" customFormat="false" ht="72.75" hidden="false" customHeight="true" outlineLevel="0" collapsed="false">
      <c r="B30" s="7" t="s">
        <v>40</v>
      </c>
      <c r="C30" s="7" t="s">
        <v>41</v>
      </c>
      <c r="D30" s="7" t="s">
        <v>42</v>
      </c>
      <c r="E30" s="7"/>
      <c r="F30" s="7" t="s">
        <v>43</v>
      </c>
    </row>
    <row r="31" customFormat="false" ht="51.75" hidden="false" customHeight="true" outlineLevel="0" collapsed="false">
      <c r="B31" s="7" t="s">
        <v>44</v>
      </c>
      <c r="C31" s="7" t="s">
        <v>45</v>
      </c>
      <c r="D31" s="7" t="s">
        <v>46</v>
      </c>
      <c r="E31" s="7"/>
      <c r="F31" s="7" t="s">
        <v>47</v>
      </c>
    </row>
    <row r="32" customFormat="false" ht="72.75" hidden="false" customHeight="true" outlineLevel="0" collapsed="false">
      <c r="B32" s="7" t="s">
        <v>48</v>
      </c>
      <c r="C32" s="7" t="s">
        <v>49</v>
      </c>
      <c r="D32" s="7" t="s">
        <v>50</v>
      </c>
      <c r="E32" s="7"/>
      <c r="F32" s="7" t="s">
        <v>51</v>
      </c>
    </row>
    <row r="33" customFormat="false" ht="72.75" hidden="false" customHeight="true" outlineLevel="0" collapsed="false">
      <c r="B33" s="7" t="s">
        <v>52</v>
      </c>
      <c r="C33" s="7" t="s">
        <v>53</v>
      </c>
      <c r="D33" s="7" t="s">
        <v>54</v>
      </c>
      <c r="E33" s="7"/>
      <c r="F33" s="7" t="s">
        <v>55</v>
      </c>
    </row>
    <row r="34" customFormat="false" ht="45" hidden="false" customHeight="true" outlineLevel="0" collapsed="false">
      <c r="B34" s="3" t="s">
        <v>56</v>
      </c>
      <c r="C34" s="3"/>
      <c r="D34" s="3"/>
      <c r="E34" s="3"/>
      <c r="F34" s="3"/>
    </row>
    <row r="35" customFormat="false" ht="6" hidden="false" customHeight="true" outlineLevel="0" collapsed="false"/>
    <row r="36" customFormat="false" ht="63.75" hidden="false" customHeight="true" outlineLevel="0" collapsed="false">
      <c r="B36" s="8" t="s">
        <v>57</v>
      </c>
      <c r="C36" s="3" t="s">
        <v>58</v>
      </c>
      <c r="D36" s="3"/>
      <c r="E36" s="3"/>
      <c r="F36" s="3"/>
    </row>
    <row r="37" customFormat="false" ht="45" hidden="false" customHeight="true" outlineLevel="0" collapsed="false">
      <c r="B37" s="8" t="s">
        <v>59</v>
      </c>
      <c r="C37" s="3" t="s">
        <v>60</v>
      </c>
      <c r="D37" s="3"/>
      <c r="E37" s="3"/>
      <c r="F37" s="3"/>
    </row>
    <row r="38" customFormat="false" ht="13.5" hidden="false" customHeight="true" outlineLevel="0" collapsed="false"/>
    <row r="39" customFormat="false" ht="29.25" hidden="false" customHeight="true" outlineLevel="0" collapsed="false">
      <c r="B39" s="4" t="s">
        <v>61</v>
      </c>
      <c r="C39" s="4"/>
      <c r="D39" s="4"/>
      <c r="E39" s="4"/>
      <c r="F39" s="4"/>
    </row>
    <row r="40" customFormat="false" ht="6" hidden="false" customHeight="true" outlineLevel="0" collapsed="false"/>
    <row r="41" customFormat="false" ht="45" hidden="false" customHeight="true" outlineLevel="0" collapsed="false">
      <c r="B41" s="8" t="s">
        <v>62</v>
      </c>
      <c r="C41" s="3" t="s">
        <v>63</v>
      </c>
      <c r="D41" s="3"/>
      <c r="E41" s="3"/>
      <c r="F41" s="3"/>
    </row>
    <row r="42" customFormat="false" ht="45" hidden="false" customHeight="true" outlineLevel="0" collapsed="false">
      <c r="B42" s="8" t="s">
        <v>64</v>
      </c>
      <c r="C42" s="3" t="s">
        <v>65</v>
      </c>
      <c r="D42" s="3"/>
      <c r="E42" s="3"/>
      <c r="F42" s="3"/>
    </row>
    <row r="43" customFormat="false" ht="81.75" hidden="false" customHeight="true" outlineLevel="0" collapsed="false">
      <c r="B43" s="8" t="s">
        <v>66</v>
      </c>
      <c r="C43" s="3" t="s">
        <v>67</v>
      </c>
      <c r="D43" s="3"/>
      <c r="E43" s="3"/>
      <c r="F43" s="3"/>
    </row>
    <row r="44" customFormat="false" ht="45" hidden="false" customHeight="true" outlineLevel="0" collapsed="false">
      <c r="B44" s="8" t="s">
        <v>68</v>
      </c>
      <c r="C44" s="3" t="s">
        <v>69</v>
      </c>
      <c r="D44" s="3"/>
      <c r="E44" s="3"/>
      <c r="F44" s="3"/>
    </row>
    <row r="45" customFormat="false" ht="63.75" hidden="false" customHeight="true" outlineLevel="0" collapsed="false">
      <c r="B45" s="8" t="s">
        <v>70</v>
      </c>
      <c r="C45" s="3" t="s">
        <v>71</v>
      </c>
      <c r="D45" s="3"/>
      <c r="E45" s="3"/>
      <c r="F45" s="3"/>
    </row>
    <row r="46" customFormat="false" ht="45" hidden="false" customHeight="true" outlineLevel="0" collapsed="false">
      <c r="B46" s="8" t="s">
        <v>72</v>
      </c>
      <c r="C46" s="3" t="s">
        <v>73</v>
      </c>
      <c r="D46" s="3"/>
      <c r="E46" s="3"/>
      <c r="F46" s="3"/>
    </row>
    <row r="47" customFormat="false" ht="63.75" hidden="false" customHeight="true" outlineLevel="0" collapsed="false">
      <c r="B47" s="8" t="s">
        <v>74</v>
      </c>
      <c r="C47" s="3" t="s">
        <v>75</v>
      </c>
      <c r="D47" s="3"/>
      <c r="E47" s="3"/>
      <c r="F47" s="3"/>
    </row>
    <row r="48" customFormat="false" ht="30" hidden="false" customHeight="true" outlineLevel="0" collapsed="false">
      <c r="B48" s="5" t="s">
        <v>76</v>
      </c>
      <c r="C48" s="5" t="s">
        <v>77</v>
      </c>
      <c r="D48" s="5" t="s">
        <v>78</v>
      </c>
      <c r="E48" s="5" t="s">
        <v>79</v>
      </c>
      <c r="F48" s="5"/>
    </row>
    <row r="49" customFormat="false" ht="51.75" hidden="false" customHeight="true" outlineLevel="0" collapsed="false">
      <c r="B49" s="7" t="s">
        <v>80</v>
      </c>
      <c r="C49" s="7" t="s">
        <v>81</v>
      </c>
      <c r="D49" s="7" t="s">
        <v>82</v>
      </c>
      <c r="E49" s="7" t="s">
        <v>83</v>
      </c>
      <c r="F49" s="7"/>
    </row>
    <row r="50" customFormat="false" ht="51.75" hidden="false" customHeight="true" outlineLevel="0" collapsed="false">
      <c r="B50" s="7" t="s">
        <v>84</v>
      </c>
      <c r="C50" s="7" t="s">
        <v>85</v>
      </c>
      <c r="D50" s="7" t="s">
        <v>86</v>
      </c>
      <c r="E50" s="7" t="s">
        <v>87</v>
      </c>
      <c r="F50" s="7"/>
    </row>
    <row r="51" customFormat="false" ht="30" hidden="false" customHeight="true" outlineLevel="0" collapsed="false">
      <c r="B51" s="7" t="s">
        <v>88</v>
      </c>
      <c r="C51" s="7" t="s">
        <v>89</v>
      </c>
      <c r="D51" s="7" t="s">
        <v>90</v>
      </c>
      <c r="E51" s="7" t="s">
        <v>91</v>
      </c>
      <c r="F51" s="7"/>
    </row>
    <row r="52" customFormat="false" ht="51.75" hidden="false" customHeight="true" outlineLevel="0" collapsed="false">
      <c r="B52" s="7" t="s">
        <v>92</v>
      </c>
      <c r="C52" s="7" t="s">
        <v>93</v>
      </c>
      <c r="D52" s="7" t="s">
        <v>94</v>
      </c>
      <c r="E52" s="7" t="s">
        <v>95</v>
      </c>
      <c r="F52" s="7"/>
    </row>
    <row r="53" customFormat="false" ht="43.5" hidden="false" customHeight="true" outlineLevel="0" collapsed="false">
      <c r="B53" s="9" t="s">
        <v>96</v>
      </c>
      <c r="C53" s="9"/>
      <c r="D53" s="9"/>
      <c r="E53" s="9"/>
      <c r="F53" s="9"/>
    </row>
    <row r="54" customFormat="false" ht="81.75" hidden="false" customHeight="true" outlineLevel="0" collapsed="false">
      <c r="B54" s="8" t="s">
        <v>97</v>
      </c>
      <c r="C54" s="3" t="s">
        <v>98</v>
      </c>
      <c r="D54" s="3"/>
      <c r="E54" s="3"/>
      <c r="F54" s="3"/>
    </row>
    <row r="55" customFormat="false" ht="81.75" hidden="false" customHeight="true" outlineLevel="0" collapsed="false">
      <c r="B55" s="8" t="s">
        <v>99</v>
      </c>
      <c r="C55" s="3" t="s">
        <v>100</v>
      </c>
      <c r="D55" s="3"/>
      <c r="E55" s="3"/>
      <c r="F55" s="3"/>
    </row>
    <row r="56" customFormat="false" ht="45" hidden="false" customHeight="true" outlineLevel="0" collapsed="false">
      <c r="B56" s="8" t="s">
        <v>101</v>
      </c>
      <c r="C56" s="3" t="s">
        <v>102</v>
      </c>
      <c r="D56" s="3"/>
      <c r="E56" s="3"/>
      <c r="F56" s="3"/>
    </row>
    <row r="57" customFormat="false" ht="45" hidden="false" customHeight="true" outlineLevel="0" collapsed="false">
      <c r="B57" s="8" t="s">
        <v>103</v>
      </c>
      <c r="C57" s="3" t="s">
        <v>104</v>
      </c>
      <c r="D57" s="3"/>
      <c r="E57" s="3"/>
      <c r="F57" s="3"/>
    </row>
    <row r="58" customFormat="false" ht="13.5" hidden="false" customHeight="true" outlineLevel="0" collapsed="false"/>
    <row r="59" customFormat="false" ht="29.25" hidden="false" customHeight="true" outlineLevel="0" collapsed="false">
      <c r="B59" s="4" t="s">
        <v>105</v>
      </c>
      <c r="C59" s="4"/>
      <c r="D59" s="4"/>
      <c r="E59" s="4"/>
      <c r="F59" s="4"/>
    </row>
    <row r="60" customFormat="false" ht="6" hidden="false" customHeight="true" outlineLevel="0" collapsed="false"/>
    <row r="61" customFormat="false" ht="26.25" hidden="false" customHeight="true" outlineLevel="0" collapsed="false">
      <c r="B61" s="8" t="s">
        <v>106</v>
      </c>
      <c r="C61" s="3" t="s">
        <v>107</v>
      </c>
      <c r="D61" s="3"/>
      <c r="E61" s="3"/>
      <c r="F61" s="3"/>
    </row>
    <row r="62" customFormat="false" ht="45" hidden="false" customHeight="true" outlineLevel="0" collapsed="false">
      <c r="B62" s="8" t="s">
        <v>108</v>
      </c>
      <c r="C62" s="3" t="s">
        <v>109</v>
      </c>
      <c r="D62" s="3"/>
      <c r="E62" s="3"/>
      <c r="F62" s="3"/>
    </row>
    <row r="63" customFormat="false" ht="45" hidden="false" customHeight="true" outlineLevel="0" collapsed="false">
      <c r="B63" s="8" t="s">
        <v>110</v>
      </c>
      <c r="C63" s="3" t="s">
        <v>111</v>
      </c>
      <c r="D63" s="3"/>
      <c r="E63" s="3"/>
      <c r="F63" s="3"/>
    </row>
    <row r="64" customFormat="false" ht="26.25" hidden="false" customHeight="true" outlineLevel="0" collapsed="false">
      <c r="B64" s="8" t="s">
        <v>112</v>
      </c>
      <c r="C64" s="3" t="s">
        <v>113</v>
      </c>
      <c r="D64" s="3"/>
      <c r="E64" s="3"/>
      <c r="F64" s="3"/>
    </row>
    <row r="65" customFormat="false" ht="45" hidden="false" customHeight="true" outlineLevel="0" collapsed="false">
      <c r="B65" s="8" t="s">
        <v>114</v>
      </c>
      <c r="C65" s="3" t="s">
        <v>115</v>
      </c>
      <c r="D65" s="3"/>
      <c r="E65" s="3"/>
      <c r="F65" s="3"/>
    </row>
    <row r="66" customFormat="false" ht="13.5" hidden="false" customHeight="true" outlineLevel="0" collapsed="false"/>
    <row r="67" customFormat="false" ht="29.25" hidden="false" customHeight="true" outlineLevel="0" collapsed="false">
      <c r="B67" s="4" t="s">
        <v>116</v>
      </c>
      <c r="C67" s="4"/>
      <c r="D67" s="4"/>
      <c r="E67" s="4"/>
      <c r="F67" s="4"/>
    </row>
    <row r="68" customFormat="false" ht="6" hidden="false" customHeight="true" outlineLevel="0" collapsed="false"/>
    <row r="69" customFormat="false" ht="81.75" hidden="false" customHeight="true" outlineLevel="0" collapsed="false">
      <c r="B69" s="8" t="s">
        <v>117</v>
      </c>
      <c r="C69" s="3" t="s">
        <v>118</v>
      </c>
      <c r="D69" s="3"/>
      <c r="E69" s="3"/>
      <c r="F69" s="3"/>
    </row>
    <row r="70" customFormat="false" ht="45" hidden="false" customHeight="true" outlineLevel="0" collapsed="false">
      <c r="B70" s="8" t="s">
        <v>119</v>
      </c>
      <c r="C70" s="3" t="s">
        <v>120</v>
      </c>
      <c r="D70" s="3"/>
      <c r="E70" s="3"/>
      <c r="F70" s="3"/>
    </row>
    <row r="71" customFormat="false" ht="63.75" hidden="false" customHeight="true" outlineLevel="0" collapsed="false">
      <c r="B71" s="8" t="s">
        <v>121</v>
      </c>
      <c r="C71" s="3" t="s">
        <v>122</v>
      </c>
      <c r="D71" s="3"/>
      <c r="E71" s="3"/>
      <c r="F71" s="3"/>
    </row>
    <row r="72" customFormat="false" ht="63.75" hidden="false" customHeight="true" outlineLevel="0" collapsed="false">
      <c r="B72" s="8" t="s">
        <v>123</v>
      </c>
      <c r="C72" s="3" t="s">
        <v>124</v>
      </c>
      <c r="D72" s="3"/>
      <c r="E72" s="3"/>
      <c r="F72" s="3"/>
    </row>
    <row r="73" customFormat="false" ht="63.75" hidden="false" customHeight="true" outlineLevel="0" collapsed="false">
      <c r="B73" s="8" t="s">
        <v>125</v>
      </c>
      <c r="C73" s="3" t="s">
        <v>126</v>
      </c>
      <c r="D73" s="3"/>
      <c r="E73" s="3"/>
      <c r="F73" s="3"/>
    </row>
    <row r="74" customFormat="false" ht="26.25" hidden="false" customHeight="true" outlineLevel="0" collapsed="false">
      <c r="B74" s="8" t="s">
        <v>127</v>
      </c>
      <c r="C74" s="3" t="s">
        <v>128</v>
      </c>
      <c r="D74" s="3"/>
      <c r="E74" s="3"/>
      <c r="F74" s="3"/>
    </row>
    <row r="75" customFormat="false" ht="13.5" hidden="false" customHeight="true" outlineLevel="0" collapsed="false"/>
    <row r="76" customFormat="false" ht="29.25" hidden="false" customHeight="true" outlineLevel="0" collapsed="false">
      <c r="B76" s="4" t="s">
        <v>129</v>
      </c>
      <c r="C76" s="4"/>
      <c r="D76" s="4"/>
      <c r="E76" s="4"/>
      <c r="F76" s="4"/>
    </row>
    <row r="77" customFormat="false" ht="6" hidden="false" customHeight="true" outlineLevel="0" collapsed="false"/>
    <row r="78" customFormat="false" ht="27.75" hidden="false" customHeight="true" outlineLevel="0" collapsed="false">
      <c r="B78" s="10" t="s">
        <v>130</v>
      </c>
      <c r="C78" s="10"/>
      <c r="D78" s="10"/>
      <c r="E78" s="10"/>
      <c r="F78" s="10"/>
    </row>
    <row r="79" customFormat="false" ht="45" hidden="false" customHeight="true" outlineLevel="0" collapsed="false">
      <c r="B79" s="11" t="s">
        <v>131</v>
      </c>
      <c r="C79" s="3" t="s">
        <v>132</v>
      </c>
      <c r="D79" s="3"/>
      <c r="E79" s="3"/>
      <c r="F79" s="3"/>
    </row>
    <row r="80" customFormat="false" ht="45" hidden="false" customHeight="true" outlineLevel="0" collapsed="false">
      <c r="B80" s="11" t="s">
        <v>133</v>
      </c>
      <c r="C80" s="3" t="s">
        <v>134</v>
      </c>
      <c r="D80" s="3"/>
      <c r="E80" s="3"/>
      <c r="F80" s="3"/>
    </row>
    <row r="81" customFormat="false" ht="26.25" hidden="false" customHeight="true" outlineLevel="0" collapsed="false">
      <c r="B81" s="11" t="s">
        <v>135</v>
      </c>
      <c r="C81" s="3" t="s">
        <v>136</v>
      </c>
      <c r="D81" s="3"/>
      <c r="E81" s="3"/>
      <c r="F81" s="3"/>
    </row>
    <row r="82" customFormat="false" ht="26.25" hidden="false" customHeight="true" outlineLevel="0" collapsed="false">
      <c r="B82" s="11" t="s">
        <v>137</v>
      </c>
      <c r="C82" s="3" t="s">
        <v>138</v>
      </c>
      <c r="D82" s="3"/>
      <c r="E82" s="3"/>
      <c r="F82" s="3"/>
    </row>
    <row r="83" customFormat="false" ht="63.75" hidden="false" customHeight="true" outlineLevel="0" collapsed="false">
      <c r="B83" s="11" t="s">
        <v>139</v>
      </c>
      <c r="C83" s="3" t="s">
        <v>140</v>
      </c>
      <c r="D83" s="3"/>
      <c r="E83" s="3"/>
      <c r="F83" s="3"/>
    </row>
    <row r="84" customFormat="false" ht="27.75" hidden="false" customHeight="true" outlineLevel="0" collapsed="false">
      <c r="B84" s="10" t="s">
        <v>141</v>
      </c>
      <c r="C84" s="10"/>
      <c r="D84" s="10"/>
      <c r="E84" s="10"/>
      <c r="F84" s="10"/>
    </row>
    <row r="85" customFormat="false" ht="45" hidden="false" customHeight="true" outlineLevel="0" collapsed="false">
      <c r="B85" s="11" t="s">
        <v>142</v>
      </c>
      <c r="C85" s="3" t="s">
        <v>143</v>
      </c>
      <c r="D85" s="3"/>
      <c r="E85" s="3"/>
      <c r="F85" s="3"/>
    </row>
    <row r="86" customFormat="false" ht="45" hidden="false" customHeight="true" outlineLevel="0" collapsed="false">
      <c r="B86" s="11" t="s">
        <v>144</v>
      </c>
      <c r="C86" s="3" t="s">
        <v>145</v>
      </c>
      <c r="D86" s="3"/>
      <c r="E86" s="3"/>
      <c r="F86" s="3"/>
    </row>
    <row r="87" customFormat="false" ht="45" hidden="false" customHeight="true" outlineLevel="0" collapsed="false">
      <c r="B87" s="11" t="s">
        <v>146</v>
      </c>
      <c r="C87" s="3" t="s">
        <v>147</v>
      </c>
      <c r="D87" s="3"/>
      <c r="E87" s="3"/>
      <c r="F87" s="3"/>
    </row>
    <row r="88" customFormat="false" ht="26.25" hidden="false" customHeight="true" outlineLevel="0" collapsed="false">
      <c r="B88" s="11" t="s">
        <v>148</v>
      </c>
      <c r="C88" s="3" t="s">
        <v>149</v>
      </c>
      <c r="D88" s="3"/>
      <c r="E88" s="3"/>
      <c r="F88" s="3"/>
    </row>
    <row r="89" customFormat="false" ht="26.25" hidden="false" customHeight="true" outlineLevel="0" collapsed="false">
      <c r="B89" s="11" t="s">
        <v>150</v>
      </c>
      <c r="C89" s="3" t="s">
        <v>151</v>
      </c>
      <c r="D89" s="3"/>
      <c r="E89" s="3"/>
      <c r="F89" s="3"/>
    </row>
    <row r="90" customFormat="false" ht="45" hidden="false" customHeight="true" outlineLevel="0" collapsed="false">
      <c r="B90" s="11" t="s">
        <v>152</v>
      </c>
      <c r="C90" s="3" t="s">
        <v>153</v>
      </c>
      <c r="D90" s="3"/>
      <c r="E90" s="3"/>
      <c r="F90" s="3"/>
    </row>
    <row r="91" customFormat="false" ht="45" hidden="false" customHeight="true" outlineLevel="0" collapsed="false">
      <c r="B91" s="11" t="s">
        <v>154</v>
      </c>
      <c r="C91" s="3" t="s">
        <v>155</v>
      </c>
      <c r="D91" s="3"/>
      <c r="E91" s="3"/>
      <c r="F91" s="3"/>
    </row>
    <row r="92" customFormat="false" ht="27.75" hidden="false" customHeight="true" outlineLevel="0" collapsed="false">
      <c r="B92" s="10" t="s">
        <v>156</v>
      </c>
      <c r="C92" s="10"/>
      <c r="D92" s="10"/>
      <c r="E92" s="10"/>
      <c r="F92" s="10"/>
    </row>
    <row r="93" customFormat="false" ht="26.25" hidden="false" customHeight="true" outlineLevel="0" collapsed="false">
      <c r="B93" s="11" t="s">
        <v>157</v>
      </c>
      <c r="C93" s="3" t="s">
        <v>158</v>
      </c>
      <c r="D93" s="3"/>
      <c r="E93" s="3"/>
      <c r="F93" s="3"/>
    </row>
    <row r="94" customFormat="false" ht="26.25" hidden="false" customHeight="true" outlineLevel="0" collapsed="false">
      <c r="B94" s="11" t="s">
        <v>159</v>
      </c>
      <c r="C94" s="3" t="s">
        <v>160</v>
      </c>
      <c r="D94" s="3"/>
      <c r="E94" s="3"/>
      <c r="F94" s="3"/>
    </row>
    <row r="95" customFormat="false" ht="63.75" hidden="false" customHeight="true" outlineLevel="0" collapsed="false">
      <c r="B95" s="11" t="s">
        <v>161</v>
      </c>
      <c r="C95" s="3" t="s">
        <v>162</v>
      </c>
      <c r="D95" s="3"/>
      <c r="E95" s="3"/>
      <c r="F95" s="3"/>
    </row>
    <row r="96" customFormat="false" ht="26.25" hidden="false" customHeight="true" outlineLevel="0" collapsed="false">
      <c r="B96" s="11" t="s">
        <v>163</v>
      </c>
      <c r="C96" s="3" t="s">
        <v>164</v>
      </c>
      <c r="D96" s="3"/>
      <c r="E96" s="3"/>
      <c r="F96" s="3"/>
    </row>
    <row r="97" customFormat="false" ht="13.5" hidden="false" customHeight="true" outlineLevel="0" collapsed="false"/>
    <row r="98" customFormat="false" ht="29.25" hidden="false" customHeight="true" outlineLevel="0" collapsed="false">
      <c r="B98" s="4" t="s">
        <v>165</v>
      </c>
      <c r="C98" s="4"/>
      <c r="D98" s="4"/>
      <c r="E98" s="4"/>
      <c r="F98" s="4"/>
    </row>
    <row r="99" customFormat="false" ht="6" hidden="false" customHeight="true" outlineLevel="0" collapsed="false"/>
    <row r="100" customFormat="false" ht="45" hidden="false" customHeight="true" outlineLevel="0" collapsed="false">
      <c r="B100" s="8" t="s">
        <v>166</v>
      </c>
      <c r="C100" s="3" t="s">
        <v>167</v>
      </c>
      <c r="D100" s="3"/>
      <c r="E100" s="3"/>
      <c r="F100" s="3"/>
    </row>
    <row r="101" customFormat="false" ht="45" hidden="false" customHeight="true" outlineLevel="0" collapsed="false">
      <c r="B101" s="8" t="s">
        <v>168</v>
      </c>
      <c r="C101" s="3" t="s">
        <v>169</v>
      </c>
      <c r="D101" s="3"/>
      <c r="E101" s="3"/>
      <c r="F101" s="3"/>
    </row>
    <row r="102" customFormat="false" ht="45" hidden="false" customHeight="true" outlineLevel="0" collapsed="false">
      <c r="B102" s="8" t="s">
        <v>170</v>
      </c>
      <c r="C102" s="3" t="s">
        <v>171</v>
      </c>
      <c r="D102" s="3"/>
      <c r="E102" s="3"/>
      <c r="F102" s="3"/>
    </row>
    <row r="103" customFormat="false" ht="45" hidden="false" customHeight="true" outlineLevel="0" collapsed="false">
      <c r="B103" s="8" t="s">
        <v>172</v>
      </c>
      <c r="C103" s="3" t="s">
        <v>173</v>
      </c>
      <c r="D103" s="3"/>
      <c r="E103" s="3"/>
      <c r="F103" s="3"/>
    </row>
    <row r="104" customFormat="false" ht="45" hidden="false" customHeight="true" outlineLevel="0" collapsed="false">
      <c r="B104" s="8" t="s">
        <v>174</v>
      </c>
      <c r="C104" s="3" t="s">
        <v>175</v>
      </c>
      <c r="D104" s="3"/>
      <c r="E104" s="3"/>
      <c r="F104" s="3"/>
    </row>
    <row r="105" customFormat="false" ht="45" hidden="false" customHeight="true" outlineLevel="0" collapsed="false">
      <c r="B105" s="8" t="s">
        <v>176</v>
      </c>
      <c r="C105" s="3" t="s">
        <v>177</v>
      </c>
      <c r="D105" s="3"/>
      <c r="E105" s="3"/>
      <c r="F105" s="3"/>
    </row>
    <row r="106" customFormat="false" ht="45" hidden="false" customHeight="true" outlineLevel="0" collapsed="false">
      <c r="B106" s="8" t="s">
        <v>178</v>
      </c>
      <c r="C106" s="3" t="s">
        <v>179</v>
      </c>
      <c r="D106" s="3"/>
      <c r="E106" s="3"/>
      <c r="F106" s="3"/>
    </row>
    <row r="107" customFormat="false" ht="13.5" hidden="false" customHeight="true" outlineLevel="0" collapsed="false"/>
    <row r="108" customFormat="false" ht="45" hidden="false" customHeight="true" outlineLevel="0" collapsed="false">
      <c r="B108" s="3" t="s">
        <v>180</v>
      </c>
      <c r="C108" s="3"/>
      <c r="D108" s="3"/>
      <c r="E108" s="3"/>
      <c r="F108" s="3"/>
    </row>
    <row r="109" customFormat="false" ht="9.75" hidden="false" customHeight="true" outlineLevel="0" collapsed="false"/>
    <row r="110" customFormat="false" ht="26.25" hidden="false" customHeight="true" outlineLevel="0" collapsed="false">
      <c r="B110" s="12" t="s">
        <v>181</v>
      </c>
      <c r="C110" s="12"/>
      <c r="D110" s="12"/>
      <c r="E110" s="12"/>
      <c r="F110" s="12"/>
    </row>
  </sheetData>
  <mergeCells count="89">
    <mergeCell ref="B1:F1"/>
    <mergeCell ref="B2:F2"/>
    <mergeCell ref="B4:F4"/>
    <mergeCell ref="B5:F5"/>
    <mergeCell ref="B7:F7"/>
    <mergeCell ref="B9:F9"/>
    <mergeCell ref="C10:E10"/>
    <mergeCell ref="C11:E11"/>
    <mergeCell ref="C12:E12"/>
    <mergeCell ref="C13:E13"/>
    <mergeCell ref="C14:E14"/>
    <mergeCell ref="C16:F16"/>
    <mergeCell ref="C17:F17"/>
    <mergeCell ref="B19:F19"/>
    <mergeCell ref="C21:F21"/>
    <mergeCell ref="C22:F22"/>
    <mergeCell ref="C23:F23"/>
    <mergeCell ref="C24:F24"/>
    <mergeCell ref="B26:F26"/>
    <mergeCell ref="B28:F28"/>
    <mergeCell ref="D29:E29"/>
    <mergeCell ref="D30:E30"/>
    <mergeCell ref="D31:E31"/>
    <mergeCell ref="D32:E32"/>
    <mergeCell ref="D33:E33"/>
    <mergeCell ref="B34:F34"/>
    <mergeCell ref="C36:F36"/>
    <mergeCell ref="C37:F37"/>
    <mergeCell ref="B39:F39"/>
    <mergeCell ref="C41:F41"/>
    <mergeCell ref="C42:F42"/>
    <mergeCell ref="C43:F43"/>
    <mergeCell ref="C44:F44"/>
    <mergeCell ref="C45:F45"/>
    <mergeCell ref="C46:F46"/>
    <mergeCell ref="C47:F47"/>
    <mergeCell ref="E48:F48"/>
    <mergeCell ref="E49:F49"/>
    <mergeCell ref="E50:F50"/>
    <mergeCell ref="E51:F51"/>
    <mergeCell ref="E52:F52"/>
    <mergeCell ref="B53:F53"/>
    <mergeCell ref="C54:F54"/>
    <mergeCell ref="C55:F55"/>
    <mergeCell ref="C56:F56"/>
    <mergeCell ref="C57:F57"/>
    <mergeCell ref="B59:F59"/>
    <mergeCell ref="C61:F61"/>
    <mergeCell ref="C62:F62"/>
    <mergeCell ref="C63:F63"/>
    <mergeCell ref="C64:F64"/>
    <mergeCell ref="C65:F65"/>
    <mergeCell ref="B67:F67"/>
    <mergeCell ref="C69:F69"/>
    <mergeCell ref="C70:F70"/>
    <mergeCell ref="C71:F71"/>
    <mergeCell ref="C72:F72"/>
    <mergeCell ref="C73:F73"/>
    <mergeCell ref="C74:F74"/>
    <mergeCell ref="B76:F76"/>
    <mergeCell ref="B78:F78"/>
    <mergeCell ref="C79:F79"/>
    <mergeCell ref="C80:F80"/>
    <mergeCell ref="C81:F81"/>
    <mergeCell ref="C82:F82"/>
    <mergeCell ref="C83:F83"/>
    <mergeCell ref="B84:F84"/>
    <mergeCell ref="C85:F85"/>
    <mergeCell ref="C86:F86"/>
    <mergeCell ref="C87:F87"/>
    <mergeCell ref="C88:F88"/>
    <mergeCell ref="C89:F89"/>
    <mergeCell ref="C90:F90"/>
    <mergeCell ref="C91:F91"/>
    <mergeCell ref="B92:F92"/>
    <mergeCell ref="C93:F93"/>
    <mergeCell ref="C94:F94"/>
    <mergeCell ref="C95:F95"/>
    <mergeCell ref="C96:F96"/>
    <mergeCell ref="B98:F98"/>
    <mergeCell ref="C100:F100"/>
    <mergeCell ref="C101:F101"/>
    <mergeCell ref="C102:F102"/>
    <mergeCell ref="C103:F103"/>
    <mergeCell ref="C104:F104"/>
    <mergeCell ref="C105:F105"/>
    <mergeCell ref="C106:F106"/>
    <mergeCell ref="B108:F108"/>
    <mergeCell ref="B110:F110"/>
  </mergeCell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F110"/>
  <sheetViews>
    <sheetView showFormulas="false" showGridLines="false" showRowColHeaders="true" showZeros="true" rightToLeft="false" tabSelected="false" showOutlineSymbols="true" defaultGridColor="true" view="normal" topLeftCell="A100"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4" min="3" style="0" width="30"/>
    <col collapsed="false" customWidth="true" hidden="false" outlineLevel="0" max="5" min="5" style="0" width="28"/>
    <col collapsed="false" customWidth="true" hidden="false" outlineLevel="0" max="6" min="6" style="0" width="42"/>
    <col collapsed="false" customWidth="true" hidden="false" outlineLevel="0" max="7" min="7" style="0" width="3"/>
  </cols>
  <sheetData>
    <row r="1" customFormat="false" ht="51.75" hidden="false" customHeight="true" outlineLevel="0" collapsed="false">
      <c r="B1" s="13" t="s">
        <v>182</v>
      </c>
      <c r="C1" s="13"/>
      <c r="D1" s="13"/>
      <c r="E1" s="13"/>
      <c r="F1" s="13"/>
    </row>
    <row r="2" customFormat="false" ht="36" hidden="false" customHeight="true" outlineLevel="0" collapsed="false">
      <c r="B2" s="14" t="s">
        <v>183</v>
      </c>
      <c r="C2" s="14"/>
      <c r="D2" s="14"/>
      <c r="E2" s="14"/>
      <c r="F2" s="14"/>
    </row>
    <row r="3" customFormat="false" ht="13.5" hidden="false" customHeight="true" outlineLevel="0" collapsed="false"/>
    <row r="4" customFormat="false" ht="26.25" hidden="false" customHeight="true" outlineLevel="0" collapsed="false">
      <c r="B4" s="15" t="s">
        <v>184</v>
      </c>
      <c r="C4" s="15"/>
      <c r="D4" s="15"/>
      <c r="E4" s="15"/>
      <c r="F4" s="15"/>
    </row>
    <row r="5" customFormat="false" ht="81.75" hidden="false" customHeight="true" outlineLevel="0" collapsed="false">
      <c r="B5" s="15" t="s">
        <v>185</v>
      </c>
      <c r="C5" s="15"/>
      <c r="D5" s="15"/>
      <c r="E5" s="15"/>
      <c r="F5" s="15"/>
    </row>
    <row r="6" customFormat="false" ht="13.5" hidden="false" customHeight="true" outlineLevel="0" collapsed="false"/>
    <row r="7" customFormat="false" ht="29.25" hidden="false" customHeight="true" outlineLevel="0" collapsed="false">
      <c r="B7" s="16" t="s">
        <v>186</v>
      </c>
      <c r="C7" s="16"/>
      <c r="D7" s="16"/>
      <c r="E7" s="16"/>
      <c r="F7" s="16"/>
    </row>
    <row r="8" customFormat="false" ht="6" hidden="false" customHeight="true" outlineLevel="0" collapsed="false"/>
    <row r="9" customFormat="false" ht="26.25" hidden="false" customHeight="true" outlineLevel="0" collapsed="false">
      <c r="B9" s="15" t="s">
        <v>187</v>
      </c>
      <c r="C9" s="15"/>
      <c r="D9" s="15"/>
      <c r="E9" s="15"/>
      <c r="F9" s="15"/>
    </row>
    <row r="10" customFormat="false" ht="26.25" hidden="false" customHeight="true" outlineLevel="0" collapsed="false">
      <c r="B10" s="17" t="s">
        <v>188</v>
      </c>
      <c r="C10" s="17" t="s">
        <v>189</v>
      </c>
      <c r="D10" s="17"/>
      <c r="E10" s="17"/>
      <c r="F10" s="17" t="s">
        <v>190</v>
      </c>
    </row>
    <row r="11" customFormat="false" ht="63.75" hidden="false" customHeight="true" outlineLevel="0" collapsed="false">
      <c r="B11" s="18" t="s">
        <v>9</v>
      </c>
      <c r="C11" s="18" t="s">
        <v>191</v>
      </c>
      <c r="D11" s="18"/>
      <c r="E11" s="18"/>
      <c r="F11" s="18" t="s">
        <v>192</v>
      </c>
    </row>
    <row r="12" customFormat="false" ht="63.75" hidden="false" customHeight="true" outlineLevel="0" collapsed="false">
      <c r="B12" s="18" t="s">
        <v>193</v>
      </c>
      <c r="C12" s="18" t="s">
        <v>194</v>
      </c>
      <c r="D12" s="18"/>
      <c r="E12" s="18"/>
      <c r="F12" s="18" t="s">
        <v>195</v>
      </c>
    </row>
    <row r="13" customFormat="false" ht="63.75" hidden="false" customHeight="true" outlineLevel="0" collapsed="false">
      <c r="B13" s="18" t="s">
        <v>196</v>
      </c>
      <c r="C13" s="18" t="s">
        <v>197</v>
      </c>
      <c r="D13" s="18"/>
      <c r="E13" s="18"/>
      <c r="F13" s="18" t="s">
        <v>198</v>
      </c>
    </row>
    <row r="14" customFormat="false" ht="26.25" hidden="false" customHeight="true" outlineLevel="0" collapsed="false">
      <c r="B14" s="18" t="s">
        <v>18</v>
      </c>
      <c r="C14" s="18" t="s">
        <v>199</v>
      </c>
      <c r="D14" s="18"/>
      <c r="E14" s="18"/>
      <c r="F14" s="18" t="s">
        <v>200</v>
      </c>
    </row>
    <row r="15" customFormat="false" ht="6" hidden="false" customHeight="true" outlineLevel="0" collapsed="false"/>
    <row r="16" customFormat="false" ht="100.5" hidden="false" customHeight="true" outlineLevel="0" collapsed="false">
      <c r="B16" s="19" t="s">
        <v>201</v>
      </c>
      <c r="C16" s="15" t="s">
        <v>202</v>
      </c>
      <c r="D16" s="15"/>
      <c r="E16" s="15"/>
      <c r="F16" s="15"/>
    </row>
    <row r="17" customFormat="false" ht="45" hidden="false" customHeight="true" outlineLevel="0" collapsed="false">
      <c r="B17" s="19" t="s">
        <v>203</v>
      </c>
      <c r="C17" s="15" t="s">
        <v>204</v>
      </c>
      <c r="D17" s="15"/>
      <c r="E17" s="15"/>
      <c r="F17" s="15"/>
    </row>
    <row r="18" customFormat="false" ht="13.5" hidden="false" customHeight="true" outlineLevel="0" collapsed="false"/>
    <row r="19" customFormat="false" ht="29.25" hidden="false" customHeight="true" outlineLevel="0" collapsed="false">
      <c r="B19" s="16" t="s">
        <v>205</v>
      </c>
      <c r="C19" s="16"/>
      <c r="D19" s="16"/>
      <c r="E19" s="16"/>
      <c r="F19" s="16"/>
    </row>
    <row r="20" customFormat="false" ht="6" hidden="false" customHeight="true" outlineLevel="0" collapsed="false"/>
    <row r="21" customFormat="false" ht="45" hidden="false" customHeight="true" outlineLevel="0" collapsed="false">
      <c r="B21" s="19" t="s">
        <v>206</v>
      </c>
      <c r="C21" s="15" t="s">
        <v>207</v>
      </c>
      <c r="D21" s="15"/>
      <c r="E21" s="15"/>
      <c r="F21" s="15"/>
    </row>
    <row r="22" customFormat="false" ht="45" hidden="false" customHeight="true" outlineLevel="0" collapsed="false">
      <c r="B22" s="19" t="s">
        <v>208</v>
      </c>
      <c r="C22" s="15" t="s">
        <v>209</v>
      </c>
      <c r="D22" s="15"/>
      <c r="E22" s="15"/>
      <c r="F22" s="15"/>
    </row>
    <row r="23" customFormat="false" ht="45" hidden="false" customHeight="true" outlineLevel="0" collapsed="false">
      <c r="B23" s="19" t="s">
        <v>210</v>
      </c>
      <c r="C23" s="15" t="s">
        <v>211</v>
      </c>
      <c r="D23" s="15"/>
      <c r="E23" s="15"/>
      <c r="F23" s="15"/>
    </row>
    <row r="24" customFormat="false" ht="45" hidden="false" customHeight="true" outlineLevel="0" collapsed="false">
      <c r="B24" s="19" t="s">
        <v>212</v>
      </c>
      <c r="C24" s="15" t="s">
        <v>213</v>
      </c>
      <c r="D24" s="15"/>
      <c r="E24" s="15"/>
      <c r="F24" s="15"/>
    </row>
    <row r="25" customFormat="false" ht="13.5" hidden="false" customHeight="true" outlineLevel="0" collapsed="false"/>
    <row r="26" customFormat="false" ht="29.25" hidden="false" customHeight="true" outlineLevel="0" collapsed="false">
      <c r="B26" s="16" t="s">
        <v>214</v>
      </c>
      <c r="C26" s="16"/>
      <c r="D26" s="16"/>
      <c r="E26" s="16"/>
      <c r="F26" s="16"/>
    </row>
    <row r="27" customFormat="false" ht="6" hidden="false" customHeight="true" outlineLevel="0" collapsed="false"/>
    <row r="28" customFormat="false" ht="45" hidden="false" customHeight="true" outlineLevel="0" collapsed="false">
      <c r="B28" s="15" t="s">
        <v>215</v>
      </c>
      <c r="C28" s="15"/>
      <c r="D28" s="15"/>
      <c r="E28" s="15"/>
      <c r="F28" s="15"/>
    </row>
    <row r="29" customFormat="false" ht="26.25" hidden="false" customHeight="true" outlineLevel="0" collapsed="false">
      <c r="B29" s="17" t="s">
        <v>216</v>
      </c>
      <c r="C29" s="17" t="s">
        <v>217</v>
      </c>
      <c r="D29" s="17" t="s">
        <v>218</v>
      </c>
      <c r="E29" s="17"/>
      <c r="F29" s="17" t="s">
        <v>219</v>
      </c>
    </row>
    <row r="30" customFormat="false" ht="81.75" hidden="false" customHeight="true" outlineLevel="0" collapsed="false">
      <c r="B30" s="18" t="s">
        <v>220</v>
      </c>
      <c r="C30" s="18" t="s">
        <v>221</v>
      </c>
      <c r="D30" s="18" t="s">
        <v>222</v>
      </c>
      <c r="E30" s="18"/>
      <c r="F30" s="18" t="s">
        <v>223</v>
      </c>
    </row>
    <row r="31" customFormat="false" ht="63.75" hidden="false" customHeight="true" outlineLevel="0" collapsed="false">
      <c r="B31" s="18" t="s">
        <v>224</v>
      </c>
      <c r="C31" s="18" t="s">
        <v>225</v>
      </c>
      <c r="D31" s="18" t="s">
        <v>226</v>
      </c>
      <c r="E31" s="18"/>
      <c r="F31" s="18" t="s">
        <v>227</v>
      </c>
    </row>
    <row r="32" customFormat="false" ht="81.75" hidden="false" customHeight="true" outlineLevel="0" collapsed="false">
      <c r="B32" s="18" t="s">
        <v>228</v>
      </c>
      <c r="C32" s="18" t="s">
        <v>229</v>
      </c>
      <c r="D32" s="18" t="s">
        <v>230</v>
      </c>
      <c r="E32" s="18"/>
      <c r="F32" s="18" t="s">
        <v>231</v>
      </c>
    </row>
    <row r="33" customFormat="false" ht="63.75" hidden="false" customHeight="true" outlineLevel="0" collapsed="false">
      <c r="B33" s="18" t="s">
        <v>232</v>
      </c>
      <c r="C33" s="18" t="s">
        <v>233</v>
      </c>
      <c r="D33" s="18" t="s">
        <v>234</v>
      </c>
      <c r="E33" s="18"/>
      <c r="F33" s="18" t="s">
        <v>235</v>
      </c>
    </row>
    <row r="34" customFormat="false" ht="45" hidden="false" customHeight="true" outlineLevel="0" collapsed="false">
      <c r="B34" s="15" t="s">
        <v>236</v>
      </c>
      <c r="C34" s="15"/>
      <c r="D34" s="15"/>
      <c r="E34" s="15"/>
      <c r="F34" s="15"/>
    </row>
    <row r="35" customFormat="false" ht="6" hidden="false" customHeight="true" outlineLevel="0" collapsed="false"/>
    <row r="36" customFormat="false" ht="63.75" hidden="false" customHeight="true" outlineLevel="0" collapsed="false">
      <c r="B36" s="19" t="s">
        <v>237</v>
      </c>
      <c r="C36" s="15" t="s">
        <v>238</v>
      </c>
      <c r="D36" s="15"/>
      <c r="E36" s="15"/>
      <c r="F36" s="15"/>
    </row>
    <row r="37" customFormat="false" ht="45" hidden="false" customHeight="true" outlineLevel="0" collapsed="false">
      <c r="B37" s="19" t="s">
        <v>239</v>
      </c>
      <c r="C37" s="15" t="s">
        <v>240</v>
      </c>
      <c r="D37" s="15"/>
      <c r="E37" s="15"/>
      <c r="F37" s="15"/>
    </row>
    <row r="38" customFormat="false" ht="13.5" hidden="false" customHeight="true" outlineLevel="0" collapsed="false"/>
    <row r="39" customFormat="false" ht="29.25" hidden="false" customHeight="true" outlineLevel="0" collapsed="false">
      <c r="B39" s="16" t="s">
        <v>241</v>
      </c>
      <c r="C39" s="16"/>
      <c r="D39" s="16"/>
      <c r="E39" s="16"/>
      <c r="F39" s="16"/>
    </row>
    <row r="40" customFormat="false" ht="6" hidden="false" customHeight="true" outlineLevel="0" collapsed="false"/>
    <row r="41" customFormat="false" ht="45" hidden="false" customHeight="true" outlineLevel="0" collapsed="false">
      <c r="B41" s="19" t="s">
        <v>242</v>
      </c>
      <c r="C41" s="15" t="s">
        <v>243</v>
      </c>
      <c r="D41" s="15"/>
      <c r="E41" s="15"/>
      <c r="F41" s="15"/>
    </row>
    <row r="42" customFormat="false" ht="63.75" hidden="false" customHeight="true" outlineLevel="0" collapsed="false">
      <c r="B42" s="19" t="s">
        <v>244</v>
      </c>
      <c r="C42" s="15" t="s">
        <v>245</v>
      </c>
      <c r="D42" s="15"/>
      <c r="E42" s="15"/>
      <c r="F42" s="15"/>
    </row>
    <row r="43" customFormat="false" ht="100.5" hidden="false" customHeight="true" outlineLevel="0" collapsed="false">
      <c r="B43" s="19" t="s">
        <v>246</v>
      </c>
      <c r="C43" s="15" t="s">
        <v>247</v>
      </c>
      <c r="D43" s="15"/>
      <c r="E43" s="15"/>
      <c r="F43" s="15"/>
    </row>
    <row r="44" customFormat="false" ht="45" hidden="false" customHeight="true" outlineLevel="0" collapsed="false">
      <c r="B44" s="19" t="s">
        <v>248</v>
      </c>
      <c r="C44" s="15" t="s">
        <v>249</v>
      </c>
      <c r="D44" s="15"/>
      <c r="E44" s="15"/>
      <c r="F44" s="15"/>
    </row>
    <row r="45" customFormat="false" ht="63.75" hidden="false" customHeight="true" outlineLevel="0" collapsed="false">
      <c r="B45" s="19" t="s">
        <v>250</v>
      </c>
      <c r="C45" s="15" t="s">
        <v>251</v>
      </c>
      <c r="D45" s="15"/>
      <c r="E45" s="15"/>
      <c r="F45" s="15"/>
    </row>
    <row r="46" customFormat="false" ht="45" hidden="false" customHeight="true" outlineLevel="0" collapsed="false">
      <c r="B46" s="19" t="s">
        <v>252</v>
      </c>
      <c r="C46" s="15" t="s">
        <v>253</v>
      </c>
      <c r="D46" s="15"/>
      <c r="E46" s="15"/>
      <c r="F46" s="15"/>
    </row>
    <row r="47" customFormat="false" ht="63.75" hidden="false" customHeight="true" outlineLevel="0" collapsed="false">
      <c r="B47" s="19" t="s">
        <v>254</v>
      </c>
      <c r="C47" s="15" t="s">
        <v>255</v>
      </c>
      <c r="D47" s="15"/>
      <c r="E47" s="15"/>
      <c r="F47" s="15"/>
    </row>
    <row r="48" customFormat="false" ht="45" hidden="false" customHeight="true" outlineLevel="0" collapsed="false">
      <c r="B48" s="17" t="s">
        <v>256</v>
      </c>
      <c r="C48" s="17" t="s">
        <v>257</v>
      </c>
      <c r="D48" s="17" t="s">
        <v>258</v>
      </c>
      <c r="E48" s="17" t="s">
        <v>259</v>
      </c>
      <c r="F48" s="17"/>
    </row>
    <row r="49" customFormat="false" ht="45" hidden="false" customHeight="true" outlineLevel="0" collapsed="false">
      <c r="B49" s="18" t="s">
        <v>260</v>
      </c>
      <c r="C49" s="18" t="s">
        <v>261</v>
      </c>
      <c r="D49" s="18" t="s">
        <v>262</v>
      </c>
      <c r="E49" s="18" t="s">
        <v>263</v>
      </c>
      <c r="F49" s="18"/>
    </row>
    <row r="50" customFormat="false" ht="45" hidden="false" customHeight="true" outlineLevel="0" collapsed="false">
      <c r="B50" s="18" t="s">
        <v>264</v>
      </c>
      <c r="C50" s="18" t="s">
        <v>265</v>
      </c>
      <c r="D50" s="18" t="s">
        <v>266</v>
      </c>
      <c r="E50" s="18" t="s">
        <v>267</v>
      </c>
      <c r="F50" s="18"/>
    </row>
    <row r="51" customFormat="false" ht="45" hidden="false" customHeight="true" outlineLevel="0" collapsed="false">
      <c r="B51" s="18" t="s">
        <v>268</v>
      </c>
      <c r="C51" s="18" t="s">
        <v>269</v>
      </c>
      <c r="D51" s="18" t="s">
        <v>270</v>
      </c>
      <c r="E51" s="18" t="s">
        <v>271</v>
      </c>
      <c r="F51" s="18"/>
    </row>
    <row r="52" customFormat="false" ht="45" hidden="false" customHeight="true" outlineLevel="0" collapsed="false">
      <c r="B52" s="18" t="s">
        <v>272</v>
      </c>
      <c r="C52" s="18" t="s">
        <v>273</v>
      </c>
      <c r="D52" s="18" t="s">
        <v>274</v>
      </c>
      <c r="E52" s="18" t="s">
        <v>275</v>
      </c>
      <c r="F52" s="18"/>
    </row>
    <row r="53" customFormat="false" ht="43.5" hidden="false" customHeight="true" outlineLevel="0" collapsed="false">
      <c r="B53" s="20" t="s">
        <v>276</v>
      </c>
      <c r="C53" s="20"/>
      <c r="D53" s="20"/>
      <c r="E53" s="20"/>
      <c r="F53" s="20"/>
    </row>
    <row r="54" customFormat="false" ht="100.5" hidden="false" customHeight="true" outlineLevel="0" collapsed="false">
      <c r="B54" s="19" t="s">
        <v>277</v>
      </c>
      <c r="C54" s="15" t="s">
        <v>278</v>
      </c>
      <c r="D54" s="15"/>
      <c r="E54" s="15"/>
      <c r="F54" s="15"/>
    </row>
    <row r="55" customFormat="false" ht="81.75" hidden="false" customHeight="true" outlineLevel="0" collapsed="false">
      <c r="B55" s="19" t="s">
        <v>279</v>
      </c>
      <c r="C55" s="15" t="s">
        <v>280</v>
      </c>
      <c r="D55" s="15"/>
      <c r="E55" s="15"/>
      <c r="F55" s="15"/>
    </row>
    <row r="56" customFormat="false" ht="63.75" hidden="false" customHeight="true" outlineLevel="0" collapsed="false">
      <c r="B56" s="19" t="s">
        <v>281</v>
      </c>
      <c r="C56" s="15" t="s">
        <v>282</v>
      </c>
      <c r="D56" s="15"/>
      <c r="E56" s="15"/>
      <c r="F56" s="15"/>
    </row>
    <row r="57" customFormat="false" ht="63.75" hidden="false" customHeight="true" outlineLevel="0" collapsed="false">
      <c r="B57" s="19" t="s">
        <v>283</v>
      </c>
      <c r="C57" s="15" t="s">
        <v>284</v>
      </c>
      <c r="D57" s="15"/>
      <c r="E57" s="15"/>
      <c r="F57" s="15"/>
    </row>
    <row r="58" customFormat="false" ht="13.5" hidden="false" customHeight="true" outlineLevel="0" collapsed="false"/>
    <row r="59" customFormat="false" ht="29.25" hidden="false" customHeight="true" outlineLevel="0" collapsed="false">
      <c r="B59" s="16" t="s">
        <v>285</v>
      </c>
      <c r="C59" s="16"/>
      <c r="D59" s="16"/>
      <c r="E59" s="16"/>
      <c r="F59" s="16"/>
    </row>
    <row r="60" customFormat="false" ht="6" hidden="false" customHeight="true" outlineLevel="0" collapsed="false"/>
    <row r="61" customFormat="false" ht="26.25" hidden="false" customHeight="true" outlineLevel="0" collapsed="false">
      <c r="B61" s="19" t="s">
        <v>286</v>
      </c>
      <c r="C61" s="15" t="s">
        <v>287</v>
      </c>
      <c r="D61" s="15"/>
      <c r="E61" s="15"/>
      <c r="F61" s="15"/>
    </row>
    <row r="62" customFormat="false" ht="45" hidden="false" customHeight="true" outlineLevel="0" collapsed="false">
      <c r="B62" s="19" t="s">
        <v>288</v>
      </c>
      <c r="C62" s="15" t="s">
        <v>289</v>
      </c>
      <c r="D62" s="15"/>
      <c r="E62" s="15"/>
      <c r="F62" s="15"/>
    </row>
    <row r="63" customFormat="false" ht="45" hidden="false" customHeight="true" outlineLevel="0" collapsed="false">
      <c r="B63" s="19" t="s">
        <v>290</v>
      </c>
      <c r="C63" s="15" t="s">
        <v>291</v>
      </c>
      <c r="D63" s="15"/>
      <c r="E63" s="15"/>
      <c r="F63" s="15"/>
    </row>
    <row r="64" customFormat="false" ht="26.25" hidden="false" customHeight="true" outlineLevel="0" collapsed="false">
      <c r="B64" s="19" t="s">
        <v>292</v>
      </c>
      <c r="C64" s="15" t="s">
        <v>293</v>
      </c>
      <c r="D64" s="15"/>
      <c r="E64" s="15"/>
      <c r="F64" s="15"/>
    </row>
    <row r="65" customFormat="false" ht="45" hidden="false" customHeight="true" outlineLevel="0" collapsed="false">
      <c r="B65" s="19" t="s">
        <v>294</v>
      </c>
      <c r="C65" s="15" t="s">
        <v>295</v>
      </c>
      <c r="D65" s="15"/>
      <c r="E65" s="15"/>
      <c r="F65" s="15"/>
    </row>
    <row r="66" customFormat="false" ht="13.5" hidden="false" customHeight="true" outlineLevel="0" collapsed="false"/>
    <row r="67" customFormat="false" ht="29.25" hidden="false" customHeight="true" outlineLevel="0" collapsed="false">
      <c r="B67" s="16" t="s">
        <v>296</v>
      </c>
      <c r="C67" s="16"/>
      <c r="D67" s="16"/>
      <c r="E67" s="16"/>
      <c r="F67" s="16"/>
    </row>
    <row r="68" customFormat="false" ht="6" hidden="false" customHeight="true" outlineLevel="0" collapsed="false"/>
    <row r="69" customFormat="false" ht="81.75" hidden="false" customHeight="true" outlineLevel="0" collapsed="false">
      <c r="B69" s="19" t="s">
        <v>297</v>
      </c>
      <c r="C69" s="15" t="s">
        <v>298</v>
      </c>
      <c r="D69" s="15"/>
      <c r="E69" s="15"/>
      <c r="F69" s="15"/>
    </row>
    <row r="70" customFormat="false" ht="45" hidden="false" customHeight="true" outlineLevel="0" collapsed="false">
      <c r="B70" s="19" t="s">
        <v>299</v>
      </c>
      <c r="C70" s="15" t="s">
        <v>300</v>
      </c>
      <c r="D70" s="15"/>
      <c r="E70" s="15"/>
      <c r="F70" s="15"/>
    </row>
    <row r="71" customFormat="false" ht="45" hidden="false" customHeight="true" outlineLevel="0" collapsed="false">
      <c r="B71" s="19" t="s">
        <v>301</v>
      </c>
      <c r="C71" s="15" t="s">
        <v>302</v>
      </c>
      <c r="D71" s="15"/>
      <c r="E71" s="15"/>
      <c r="F71" s="15"/>
    </row>
    <row r="72" customFormat="false" ht="63.75" hidden="false" customHeight="true" outlineLevel="0" collapsed="false">
      <c r="B72" s="19" t="s">
        <v>303</v>
      </c>
      <c r="C72" s="15" t="s">
        <v>304</v>
      </c>
      <c r="D72" s="15"/>
      <c r="E72" s="15"/>
      <c r="F72" s="15"/>
    </row>
    <row r="73" customFormat="false" ht="63.75" hidden="false" customHeight="true" outlineLevel="0" collapsed="false">
      <c r="B73" s="19" t="s">
        <v>305</v>
      </c>
      <c r="C73" s="15" t="s">
        <v>306</v>
      </c>
      <c r="D73" s="15"/>
      <c r="E73" s="15"/>
      <c r="F73" s="15"/>
    </row>
    <row r="74" customFormat="false" ht="26.25" hidden="false" customHeight="true" outlineLevel="0" collapsed="false">
      <c r="B74" s="19" t="s">
        <v>307</v>
      </c>
      <c r="C74" s="15" t="s">
        <v>308</v>
      </c>
      <c r="D74" s="15"/>
      <c r="E74" s="15"/>
      <c r="F74" s="15"/>
    </row>
    <row r="75" customFormat="false" ht="13.5" hidden="false" customHeight="true" outlineLevel="0" collapsed="false"/>
    <row r="76" customFormat="false" ht="29.25" hidden="false" customHeight="true" outlineLevel="0" collapsed="false">
      <c r="B76" s="16" t="s">
        <v>309</v>
      </c>
      <c r="C76" s="16"/>
      <c r="D76" s="16"/>
      <c r="E76" s="16"/>
      <c r="F76" s="16"/>
    </row>
    <row r="77" customFormat="false" ht="6" hidden="false" customHeight="true" outlineLevel="0" collapsed="false"/>
    <row r="78" customFormat="false" ht="27.75" hidden="false" customHeight="true" outlineLevel="0" collapsed="false">
      <c r="B78" s="21" t="s">
        <v>310</v>
      </c>
      <c r="C78" s="21"/>
      <c r="D78" s="21"/>
      <c r="E78" s="21"/>
      <c r="F78" s="21"/>
    </row>
    <row r="79" customFormat="false" ht="45" hidden="false" customHeight="true" outlineLevel="0" collapsed="false">
      <c r="B79" s="19" t="s">
        <v>131</v>
      </c>
      <c r="C79" s="15" t="s">
        <v>311</v>
      </c>
      <c r="D79" s="15"/>
      <c r="E79" s="15"/>
      <c r="F79" s="15"/>
    </row>
    <row r="80" customFormat="false" ht="45" hidden="false" customHeight="true" outlineLevel="0" collapsed="false">
      <c r="B80" s="19" t="s">
        <v>133</v>
      </c>
      <c r="C80" s="15" t="s">
        <v>312</v>
      </c>
      <c r="D80" s="15"/>
      <c r="E80" s="15"/>
      <c r="F80" s="15"/>
    </row>
    <row r="81" customFormat="false" ht="26.25" hidden="false" customHeight="true" outlineLevel="0" collapsed="false">
      <c r="B81" s="19" t="s">
        <v>135</v>
      </c>
      <c r="C81" s="15" t="s">
        <v>313</v>
      </c>
      <c r="D81" s="15"/>
      <c r="E81" s="15"/>
      <c r="F81" s="15"/>
    </row>
    <row r="82" customFormat="false" ht="26.25" hidden="false" customHeight="true" outlineLevel="0" collapsed="false">
      <c r="B82" s="19" t="s">
        <v>137</v>
      </c>
      <c r="C82" s="15" t="s">
        <v>314</v>
      </c>
      <c r="D82" s="15"/>
      <c r="E82" s="15"/>
      <c r="F82" s="15"/>
    </row>
    <row r="83" customFormat="false" ht="63.75" hidden="false" customHeight="true" outlineLevel="0" collapsed="false">
      <c r="B83" s="19" t="s">
        <v>139</v>
      </c>
      <c r="C83" s="15" t="s">
        <v>315</v>
      </c>
      <c r="D83" s="15"/>
      <c r="E83" s="15"/>
      <c r="F83" s="15"/>
    </row>
    <row r="84" customFormat="false" ht="27.75" hidden="false" customHeight="true" outlineLevel="0" collapsed="false">
      <c r="B84" s="21" t="s">
        <v>316</v>
      </c>
      <c r="C84" s="21"/>
      <c r="D84" s="21"/>
      <c r="E84" s="21"/>
      <c r="F84" s="21"/>
    </row>
    <row r="85" customFormat="false" ht="45" hidden="false" customHeight="true" outlineLevel="0" collapsed="false">
      <c r="B85" s="19" t="s">
        <v>142</v>
      </c>
      <c r="C85" s="15" t="s">
        <v>317</v>
      </c>
      <c r="D85" s="15"/>
      <c r="E85" s="15"/>
      <c r="F85" s="15"/>
    </row>
    <row r="86" customFormat="false" ht="45" hidden="false" customHeight="true" outlineLevel="0" collapsed="false">
      <c r="B86" s="19" t="s">
        <v>144</v>
      </c>
      <c r="C86" s="15" t="s">
        <v>318</v>
      </c>
      <c r="D86" s="15"/>
      <c r="E86" s="15"/>
      <c r="F86" s="15"/>
    </row>
    <row r="87" customFormat="false" ht="45" hidden="false" customHeight="true" outlineLevel="0" collapsed="false">
      <c r="B87" s="19" t="s">
        <v>146</v>
      </c>
      <c r="C87" s="15" t="s">
        <v>319</v>
      </c>
      <c r="D87" s="15"/>
      <c r="E87" s="15"/>
      <c r="F87" s="15"/>
    </row>
    <row r="88" customFormat="false" ht="45" hidden="false" customHeight="true" outlineLevel="0" collapsed="false">
      <c r="B88" s="19" t="s">
        <v>148</v>
      </c>
      <c r="C88" s="15" t="s">
        <v>320</v>
      </c>
      <c r="D88" s="15"/>
      <c r="E88" s="15"/>
      <c r="F88" s="15"/>
    </row>
    <row r="89" customFormat="false" ht="26.25" hidden="false" customHeight="true" outlineLevel="0" collapsed="false">
      <c r="B89" s="19" t="s">
        <v>150</v>
      </c>
      <c r="C89" s="15" t="s">
        <v>321</v>
      </c>
      <c r="D89" s="15"/>
      <c r="E89" s="15"/>
      <c r="F89" s="15"/>
    </row>
    <row r="90" customFormat="false" ht="45" hidden="false" customHeight="true" outlineLevel="0" collapsed="false">
      <c r="B90" s="19" t="s">
        <v>152</v>
      </c>
      <c r="C90" s="15" t="s">
        <v>322</v>
      </c>
      <c r="D90" s="15"/>
      <c r="E90" s="15"/>
      <c r="F90" s="15"/>
    </row>
    <row r="91" customFormat="false" ht="45" hidden="false" customHeight="true" outlineLevel="0" collapsed="false">
      <c r="B91" s="19" t="s">
        <v>154</v>
      </c>
      <c r="C91" s="15" t="s">
        <v>323</v>
      </c>
      <c r="D91" s="15"/>
      <c r="E91" s="15"/>
      <c r="F91" s="15"/>
    </row>
    <row r="92" customFormat="false" ht="27.75" hidden="false" customHeight="true" outlineLevel="0" collapsed="false">
      <c r="B92" s="21" t="s">
        <v>324</v>
      </c>
      <c r="C92" s="21"/>
      <c r="D92" s="21"/>
      <c r="E92" s="21"/>
      <c r="F92" s="21"/>
    </row>
    <row r="93" customFormat="false" ht="45" hidden="false" customHeight="true" outlineLevel="0" collapsed="false">
      <c r="B93" s="19" t="s">
        <v>157</v>
      </c>
      <c r="C93" s="15" t="s">
        <v>325</v>
      </c>
      <c r="D93" s="15"/>
      <c r="E93" s="15"/>
      <c r="F93" s="15"/>
    </row>
    <row r="94" customFormat="false" ht="45" hidden="false" customHeight="true" outlineLevel="0" collapsed="false">
      <c r="B94" s="19" t="s">
        <v>159</v>
      </c>
      <c r="C94" s="15" t="s">
        <v>326</v>
      </c>
      <c r="D94" s="15"/>
      <c r="E94" s="15"/>
      <c r="F94" s="15"/>
    </row>
    <row r="95" customFormat="false" ht="45" hidden="false" customHeight="true" outlineLevel="0" collapsed="false">
      <c r="B95" s="19" t="s">
        <v>161</v>
      </c>
      <c r="C95" s="15" t="s">
        <v>327</v>
      </c>
      <c r="D95" s="15"/>
      <c r="E95" s="15"/>
      <c r="F95" s="15"/>
    </row>
    <row r="96" customFormat="false" ht="26.25" hidden="false" customHeight="true" outlineLevel="0" collapsed="false">
      <c r="B96" s="19" t="s">
        <v>163</v>
      </c>
      <c r="C96" s="15" t="s">
        <v>328</v>
      </c>
      <c r="D96" s="15"/>
      <c r="E96" s="15"/>
      <c r="F96" s="15"/>
    </row>
    <row r="97" customFormat="false" ht="13.5" hidden="false" customHeight="true" outlineLevel="0" collapsed="false"/>
    <row r="98" customFormat="false" ht="29.25" hidden="false" customHeight="true" outlineLevel="0" collapsed="false">
      <c r="B98" s="16" t="s">
        <v>329</v>
      </c>
      <c r="C98" s="16"/>
      <c r="D98" s="16"/>
      <c r="E98" s="16"/>
      <c r="F98" s="16"/>
    </row>
    <row r="99" customFormat="false" ht="6" hidden="false" customHeight="true" outlineLevel="0" collapsed="false"/>
    <row r="100" customFormat="false" ht="45" hidden="false" customHeight="true" outlineLevel="0" collapsed="false">
      <c r="B100" s="19" t="s">
        <v>330</v>
      </c>
      <c r="C100" s="15" t="s">
        <v>331</v>
      </c>
      <c r="D100" s="15"/>
      <c r="E100" s="15"/>
      <c r="F100" s="15"/>
    </row>
    <row r="101" customFormat="false" ht="45" hidden="false" customHeight="true" outlineLevel="0" collapsed="false">
      <c r="B101" s="19" t="s">
        <v>332</v>
      </c>
      <c r="C101" s="15" t="s">
        <v>333</v>
      </c>
      <c r="D101" s="15"/>
      <c r="E101" s="15"/>
      <c r="F101" s="15"/>
    </row>
    <row r="102" customFormat="false" ht="45" hidden="false" customHeight="true" outlineLevel="0" collapsed="false">
      <c r="B102" s="19" t="s">
        <v>334</v>
      </c>
      <c r="C102" s="15" t="s">
        <v>335</v>
      </c>
      <c r="D102" s="15"/>
      <c r="E102" s="15"/>
      <c r="F102" s="15"/>
    </row>
    <row r="103" customFormat="false" ht="45" hidden="false" customHeight="true" outlineLevel="0" collapsed="false">
      <c r="B103" s="19" t="s">
        <v>336</v>
      </c>
      <c r="C103" s="15" t="s">
        <v>337</v>
      </c>
      <c r="D103" s="15"/>
      <c r="E103" s="15"/>
      <c r="F103" s="15"/>
    </row>
    <row r="104" customFormat="false" ht="63.75" hidden="false" customHeight="true" outlineLevel="0" collapsed="false">
      <c r="B104" s="19" t="s">
        <v>338</v>
      </c>
      <c r="C104" s="15" t="s">
        <v>339</v>
      </c>
      <c r="D104" s="15"/>
      <c r="E104" s="15"/>
      <c r="F104" s="15"/>
    </row>
    <row r="105" customFormat="false" ht="45" hidden="false" customHeight="true" outlineLevel="0" collapsed="false">
      <c r="B105" s="19" t="s">
        <v>340</v>
      </c>
      <c r="C105" s="15" t="s">
        <v>341</v>
      </c>
      <c r="D105" s="15"/>
      <c r="E105" s="15"/>
      <c r="F105" s="15"/>
    </row>
    <row r="106" customFormat="false" ht="63.75" hidden="false" customHeight="true" outlineLevel="0" collapsed="false">
      <c r="B106" s="19" t="s">
        <v>342</v>
      </c>
      <c r="C106" s="15" t="s">
        <v>343</v>
      </c>
      <c r="D106" s="15"/>
      <c r="E106" s="15"/>
      <c r="F106" s="15"/>
    </row>
    <row r="107" customFormat="false" ht="13.5" hidden="false" customHeight="true" outlineLevel="0" collapsed="false"/>
    <row r="108" customFormat="false" ht="45" hidden="false" customHeight="true" outlineLevel="0" collapsed="false">
      <c r="B108" s="15" t="s">
        <v>344</v>
      </c>
      <c r="C108" s="15"/>
      <c r="D108" s="15"/>
      <c r="E108" s="15"/>
      <c r="F108" s="15"/>
    </row>
    <row r="109" customFormat="false" ht="9.75" hidden="false" customHeight="true" outlineLevel="0" collapsed="false"/>
    <row r="110" customFormat="false" ht="26.25" hidden="false" customHeight="true" outlineLevel="0" collapsed="false">
      <c r="B110" s="22" t="s">
        <v>345</v>
      </c>
      <c r="C110" s="22"/>
      <c r="D110" s="22"/>
      <c r="E110" s="22"/>
      <c r="F110" s="22"/>
    </row>
  </sheetData>
  <mergeCells count="89">
    <mergeCell ref="B1:F1"/>
    <mergeCell ref="B2:F2"/>
    <mergeCell ref="B4:F4"/>
    <mergeCell ref="B5:F5"/>
    <mergeCell ref="B7:F7"/>
    <mergeCell ref="B9:F9"/>
    <mergeCell ref="C10:E10"/>
    <mergeCell ref="C11:E11"/>
    <mergeCell ref="C12:E12"/>
    <mergeCell ref="C13:E13"/>
    <mergeCell ref="C14:E14"/>
    <mergeCell ref="C16:F16"/>
    <mergeCell ref="C17:F17"/>
    <mergeCell ref="B19:F19"/>
    <mergeCell ref="C21:F21"/>
    <mergeCell ref="C22:F22"/>
    <mergeCell ref="C23:F23"/>
    <mergeCell ref="C24:F24"/>
    <mergeCell ref="B26:F26"/>
    <mergeCell ref="B28:F28"/>
    <mergeCell ref="D29:E29"/>
    <mergeCell ref="D30:E30"/>
    <mergeCell ref="D31:E31"/>
    <mergeCell ref="D32:E32"/>
    <mergeCell ref="D33:E33"/>
    <mergeCell ref="B34:F34"/>
    <mergeCell ref="C36:F36"/>
    <mergeCell ref="C37:F37"/>
    <mergeCell ref="B39:F39"/>
    <mergeCell ref="C41:F41"/>
    <mergeCell ref="C42:F42"/>
    <mergeCell ref="C43:F43"/>
    <mergeCell ref="C44:F44"/>
    <mergeCell ref="C45:F45"/>
    <mergeCell ref="C46:F46"/>
    <mergeCell ref="C47:F47"/>
    <mergeCell ref="E48:F48"/>
    <mergeCell ref="E49:F49"/>
    <mergeCell ref="E50:F50"/>
    <mergeCell ref="E51:F51"/>
    <mergeCell ref="E52:F52"/>
    <mergeCell ref="B53:F53"/>
    <mergeCell ref="C54:F54"/>
    <mergeCell ref="C55:F55"/>
    <mergeCell ref="C56:F56"/>
    <mergeCell ref="C57:F57"/>
    <mergeCell ref="B59:F59"/>
    <mergeCell ref="C61:F61"/>
    <mergeCell ref="C62:F62"/>
    <mergeCell ref="C63:F63"/>
    <mergeCell ref="C64:F64"/>
    <mergeCell ref="C65:F65"/>
    <mergeCell ref="B67:F67"/>
    <mergeCell ref="C69:F69"/>
    <mergeCell ref="C70:F70"/>
    <mergeCell ref="C71:F71"/>
    <mergeCell ref="C72:F72"/>
    <mergeCell ref="C73:F73"/>
    <mergeCell ref="C74:F74"/>
    <mergeCell ref="B76:F76"/>
    <mergeCell ref="B78:F78"/>
    <mergeCell ref="C79:F79"/>
    <mergeCell ref="C80:F80"/>
    <mergeCell ref="C81:F81"/>
    <mergeCell ref="C82:F82"/>
    <mergeCell ref="C83:F83"/>
    <mergeCell ref="B84:F84"/>
    <mergeCell ref="C85:F85"/>
    <mergeCell ref="C86:F86"/>
    <mergeCell ref="C87:F87"/>
    <mergeCell ref="C88:F88"/>
    <mergeCell ref="C89:F89"/>
    <mergeCell ref="C90:F90"/>
    <mergeCell ref="C91:F91"/>
    <mergeCell ref="B92:F92"/>
    <mergeCell ref="C93:F93"/>
    <mergeCell ref="C94:F94"/>
    <mergeCell ref="C95:F95"/>
    <mergeCell ref="C96:F96"/>
    <mergeCell ref="B98:F98"/>
    <mergeCell ref="C100:F100"/>
    <mergeCell ref="C101:F101"/>
    <mergeCell ref="C102:F102"/>
    <mergeCell ref="C103:F103"/>
    <mergeCell ref="C104:F104"/>
    <mergeCell ref="C105:F105"/>
    <mergeCell ref="C106:F106"/>
    <mergeCell ref="B108:F108"/>
    <mergeCell ref="B110:F110"/>
  </mergeCells>
  <printOptions headings="false" gridLines="false" gridLinesSet="true" horizontalCentered="false" verticalCentered="false"/>
  <pageMargins left="0.4" right="0.4"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40"/>
  <sheetViews>
    <sheetView showFormulas="false" showGridLines="true" showRowColHeaders="true" showZeros="true" rightToLeft="true" tabSelected="false" showOutlineSymbols="true" defaultGridColor="true" view="normal" topLeftCell="A38" colorId="64" zoomScale="100" zoomScaleNormal="100" zoomScalePageLayoutView="100" workbookViewId="0">
      <selection pane="topLeft" activeCell="A2" activeCellId="0" sqref="A2"/>
    </sheetView>
  </sheetViews>
  <sheetFormatPr defaultColWidth="8.71484375" defaultRowHeight="15" zeroHeight="false" outlineLevelRow="0" outlineLevelCol="0"/>
  <cols>
    <col collapsed="false" customWidth="true" hidden="false" outlineLevel="0" max="1" min="1" style="0" width="5"/>
    <col collapsed="false" customWidth="true" hidden="false" outlineLevel="0" max="2" min="2" style="0" width="46.86"/>
    <col collapsed="false" customWidth="true" hidden="false" outlineLevel="0" max="3" min="3" style="0" width="49.71"/>
    <col collapsed="false" customWidth="true" hidden="false" outlineLevel="0" max="4" min="4" style="0" width="13"/>
    <col collapsed="false" customWidth="true" hidden="false" outlineLevel="0" max="5" min="5" style="0" width="18"/>
    <col collapsed="false" customWidth="true" hidden="false" outlineLevel="0" max="7" min="6" style="0" width="14"/>
    <col collapsed="false" customWidth="true" hidden="false" outlineLevel="0" max="8" min="8" style="0" width="18"/>
    <col collapsed="false" customWidth="true" hidden="false" outlineLevel="0" max="9" min="9" style="0" width="22"/>
    <col collapsed="false" customWidth="true" hidden="false" outlineLevel="0" max="10" min="10" style="0" width="12"/>
    <col collapsed="false" customWidth="true" hidden="false" outlineLevel="0" max="11" min="11" style="0" width="14.29"/>
    <col collapsed="false" customWidth="true" hidden="false" outlineLevel="0" max="12" min="12" style="0" width="21.85"/>
    <col collapsed="false" customWidth="true" hidden="false" outlineLevel="0" max="13" min="13" style="0" width="13"/>
    <col collapsed="false" customWidth="true" hidden="false" outlineLevel="0" max="14" min="14" style="0" width="9"/>
    <col collapsed="false" customWidth="true" hidden="false" outlineLevel="0" max="15" min="15" style="0" width="10.71"/>
    <col collapsed="false" customWidth="true" hidden="false" outlineLevel="0" max="16" min="16" style="0" width="9"/>
    <col collapsed="false" customWidth="true" hidden="false" outlineLevel="0" max="17" min="17" style="0" width="11"/>
    <col collapsed="false" customWidth="true" hidden="false" outlineLevel="0" max="18" min="18" style="0" width="9"/>
    <col collapsed="false" customWidth="true" hidden="false" outlineLevel="0" max="19" min="19" style="0" width="11.29"/>
    <col collapsed="false" customWidth="true" hidden="false" outlineLevel="0" max="20" min="20" style="0" width="9"/>
    <col collapsed="false" customWidth="true" hidden="false" outlineLevel="0" max="21" min="21" style="0" width="10.85"/>
    <col collapsed="false" customWidth="true" hidden="false" outlineLevel="0" max="22" min="22" style="0" width="17.57"/>
    <col collapsed="false" customWidth="true" hidden="false" outlineLevel="0" max="23" min="23" style="0" width="15.29"/>
    <col collapsed="false" customWidth="true" hidden="false" outlineLevel="0" max="24" min="24" style="0" width="15.42"/>
  </cols>
  <sheetData>
    <row r="1" customFormat="false" ht="51"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row>
    <row r="2" customFormat="false" ht="31.5" hidden="false" customHeight="true" outlineLevel="0" collapsed="false">
      <c r="A2" s="23" t="s">
        <v>346</v>
      </c>
      <c r="B2" s="23"/>
      <c r="C2" s="23"/>
      <c r="D2" s="23"/>
      <c r="E2" s="23"/>
      <c r="F2" s="23"/>
      <c r="G2" s="23"/>
      <c r="H2" s="23"/>
      <c r="I2" s="23"/>
      <c r="J2" s="23"/>
      <c r="K2" s="23"/>
      <c r="L2" s="23"/>
      <c r="M2" s="23"/>
      <c r="N2" s="23"/>
      <c r="O2" s="23"/>
      <c r="P2" s="23"/>
      <c r="Q2" s="23"/>
      <c r="R2" s="23"/>
      <c r="S2" s="23"/>
      <c r="T2" s="23"/>
      <c r="U2" s="23"/>
      <c r="V2" s="23"/>
      <c r="W2" s="23"/>
      <c r="X2" s="23"/>
    </row>
    <row r="3" customFormat="false" ht="31.5" hidden="false" customHeight="true" outlineLevel="0" collapsed="false">
      <c r="A3" s="24"/>
      <c r="B3" s="25" t="s">
        <v>347</v>
      </c>
      <c r="C3" s="26" t="s">
        <v>348</v>
      </c>
      <c r="D3" s="26"/>
      <c r="E3" s="27" t="s">
        <v>349</v>
      </c>
      <c r="F3" s="28" t="s">
        <v>350</v>
      </c>
      <c r="G3" s="28"/>
      <c r="H3" s="28"/>
      <c r="I3" s="28"/>
      <c r="J3" s="29" t="s">
        <v>351</v>
      </c>
      <c r="K3" s="29"/>
      <c r="L3" s="30"/>
      <c r="M3" s="30"/>
      <c r="N3" s="30"/>
      <c r="O3" s="27" t="s">
        <v>352</v>
      </c>
      <c r="P3" s="31" t="s">
        <v>353</v>
      </c>
      <c r="Q3" s="31"/>
      <c r="R3" s="31"/>
    </row>
    <row r="4" customFormat="false" ht="30" hidden="false" customHeight="true" outlineLevel="0" collapsed="false">
      <c r="A4" s="32"/>
      <c r="B4" s="4" t="s">
        <v>354</v>
      </c>
      <c r="C4" s="4"/>
      <c r="D4" s="4"/>
      <c r="E4" s="33" t="s">
        <v>355</v>
      </c>
      <c r="F4" s="33"/>
      <c r="G4" s="33"/>
      <c r="H4" s="33"/>
      <c r="I4" s="33"/>
      <c r="J4" s="33"/>
      <c r="K4" s="33"/>
      <c r="L4" s="33"/>
      <c r="M4" s="34" t="s">
        <v>356</v>
      </c>
      <c r="N4" s="33" t="s">
        <v>357</v>
      </c>
      <c r="O4" s="33"/>
      <c r="P4" s="33"/>
      <c r="Q4" s="33"/>
      <c r="R4" s="33"/>
      <c r="S4" s="33"/>
      <c r="T4" s="33"/>
      <c r="U4" s="33"/>
      <c r="V4" s="33" t="s">
        <v>358</v>
      </c>
      <c r="W4" s="33"/>
      <c r="X4" s="33"/>
    </row>
    <row r="5" customFormat="false" ht="43.5" hidden="false" customHeight="true" outlineLevel="0" collapsed="false">
      <c r="A5" s="35" t="s">
        <v>359</v>
      </c>
      <c r="B5" s="36" t="s">
        <v>360</v>
      </c>
      <c r="C5" s="36" t="s">
        <v>361</v>
      </c>
      <c r="D5" s="36" t="s">
        <v>362</v>
      </c>
      <c r="E5" s="36" t="s">
        <v>363</v>
      </c>
      <c r="F5" s="36" t="s">
        <v>364</v>
      </c>
      <c r="G5" s="36" t="s">
        <v>365</v>
      </c>
      <c r="H5" s="36" t="s">
        <v>366</v>
      </c>
      <c r="I5" s="36" t="s">
        <v>367</v>
      </c>
      <c r="J5" s="36" t="s">
        <v>368</v>
      </c>
      <c r="K5" s="36" t="s">
        <v>369</v>
      </c>
      <c r="L5" s="36" t="s">
        <v>370</v>
      </c>
      <c r="M5" s="36" t="s">
        <v>371</v>
      </c>
      <c r="N5" s="36" t="s">
        <v>372</v>
      </c>
      <c r="O5" s="36" t="s">
        <v>373</v>
      </c>
      <c r="P5" s="36" t="s">
        <v>374</v>
      </c>
      <c r="Q5" s="36" t="s">
        <v>375</v>
      </c>
      <c r="R5" s="36" t="s">
        <v>376</v>
      </c>
      <c r="S5" s="36" t="s">
        <v>377</v>
      </c>
      <c r="T5" s="36" t="s">
        <v>378</v>
      </c>
      <c r="U5" s="36" t="s">
        <v>379</v>
      </c>
      <c r="V5" s="36" t="s">
        <v>380</v>
      </c>
      <c r="W5" s="36" t="s">
        <v>381</v>
      </c>
      <c r="X5" s="36" t="s">
        <v>382</v>
      </c>
    </row>
    <row r="6" customFormat="false" ht="25.5" hidden="false" customHeight="true" outlineLevel="0" collapsed="false">
      <c r="A6" s="37" t="n">
        <f aca="false">IF(B6="","",COUNTA(B$5:B6)-1)</f>
        <v>1</v>
      </c>
      <c r="B6" s="38" t="s">
        <v>383</v>
      </c>
      <c r="C6" s="39" t="s">
        <v>384</v>
      </c>
      <c r="D6" s="40" t="str">
        <f aca="false">IFERROR(VLOOKUP($F$3,Data!$A:$B,2,0)&amp;"-S"&amp;TEXT(ROW()-ROW($D$5),"0"),"-S"&amp;TEXT(ROW()-ROW($D$5),"0"))</f>
        <v>ZF-S1</v>
      </c>
      <c r="E6" s="41" t="s">
        <v>385</v>
      </c>
      <c r="F6" s="41" t="s">
        <v>386</v>
      </c>
      <c r="G6" s="41" t="s">
        <v>387</v>
      </c>
      <c r="H6" s="41" t="s">
        <v>388</v>
      </c>
      <c r="I6" s="41" t="s">
        <v>389</v>
      </c>
      <c r="J6" s="42" t="n">
        <v>10</v>
      </c>
      <c r="K6" s="43" t="n">
        <v>70</v>
      </c>
      <c r="L6" s="43" t="n">
        <v>80</v>
      </c>
      <c r="M6" s="44" t="str">
        <f aca="false">IFERROR(IF(OR(K6="",L6="",ISNUMBER(SEARCH("متوسط",I6)),ISNUMBER(SEARCH("ليكرت",G6)),ISNUMBER(SEARCH("نوعي",E6))),"",K6+L6),"")</f>
        <v/>
      </c>
      <c r="N6" s="43" t="n">
        <v>80</v>
      </c>
      <c r="O6" s="43" t="n">
        <v>78</v>
      </c>
      <c r="P6" s="43" t="n">
        <v>80</v>
      </c>
      <c r="Q6" s="43" t="n">
        <v>80</v>
      </c>
      <c r="R6" s="43" t="n">
        <v>80</v>
      </c>
      <c r="S6" s="43"/>
      <c r="T6" s="43" t="n">
        <v>80</v>
      </c>
      <c r="U6" s="43"/>
      <c r="V6" s="44" t="n">
        <f aca="false">IFERROR(IF(COUNT(O6,Q6,S6,U6)=0,"",IF(ISNUMBER(SEARCH("تراكمي",I6)),IF(ISNUMBER(U6),U6,IF(ISNUMBER(S6),S6,IF(ISNUMBER(Q6),Q6,O6))),IF(ISNUMBER(SEARCH("متوسط",I6)),AVERAGE(O6,Q6,S6,U6),IF(AND(ISNUMBER(SEARCH("سنوي",I6)),ISERROR(SEARCH("نصف",I6))),IF(ISNUMBER(U6),U6,""),SUM(O6,Q6,S6,U6))))),"-")</f>
        <v>79</v>
      </c>
      <c r="W6" s="45" t="n">
        <f aca="false">IF(OR(NOT(ISNUMBER(L6)),NOT(ISNUMBER(V6))),"",IFERROR(IF(ISNUMBER(SEARCH("تنازلي",H6)),  IF(V6=0,100,(L6/V6)*100),  (V6/L6)*100),"-"))</f>
        <v>98.75</v>
      </c>
      <c r="X6" s="45" t="n">
        <f aca="false">IF(AND(ISNUMBER(W6),ISNUMBER(J6)),MIN(W6,100)/100*J6,"")</f>
        <v>9.875</v>
      </c>
    </row>
    <row r="7" customFormat="false" ht="25.5" hidden="false" customHeight="true" outlineLevel="0" collapsed="false">
      <c r="A7" s="37" t="str">
        <f aca="false">IF(B7="","",COUNTA(B$5:B7)-1)</f>
        <v/>
      </c>
      <c r="B7" s="38"/>
      <c r="C7" s="39" t="s">
        <v>390</v>
      </c>
      <c r="D7" s="40" t="str">
        <f aca="false">IFERROR(VLOOKUP($F$3,Data!$A:$B,2,0)&amp;"-S"&amp;TEXT(ROW()-ROW($D$5),"0"),"-S"&amp;TEXT(ROW()-ROW($D$5),"0"))</f>
        <v>ZF-S2</v>
      </c>
      <c r="E7" s="41" t="s">
        <v>391</v>
      </c>
      <c r="F7" s="41" t="s">
        <v>386</v>
      </c>
      <c r="G7" s="41" t="s">
        <v>392</v>
      </c>
      <c r="H7" s="41" t="s">
        <v>388</v>
      </c>
      <c r="I7" s="41" t="s">
        <v>393</v>
      </c>
      <c r="J7" s="42" t="n">
        <v>10</v>
      </c>
      <c r="K7" s="43" t="n">
        <v>1000</v>
      </c>
      <c r="L7" s="43" t="n">
        <v>2000</v>
      </c>
      <c r="M7" s="44" t="n">
        <f aca="false">IFERROR(IF(OR(K7="",L7="",ISNUMBER(SEARCH("متوسط",I7)),ISNUMBER(SEARCH("ليكرت",G7)),ISNUMBER(SEARCH("نوعي",E7))),"",K7+L7),"")</f>
        <v>3000</v>
      </c>
      <c r="N7" s="43" t="n">
        <v>400</v>
      </c>
      <c r="O7" s="43" t="n">
        <v>380</v>
      </c>
      <c r="P7" s="43" t="n">
        <v>600</v>
      </c>
      <c r="Q7" s="43" t="n">
        <v>700</v>
      </c>
      <c r="R7" s="43" t="n">
        <v>500</v>
      </c>
      <c r="S7" s="43"/>
      <c r="T7" s="43" t="n">
        <v>500</v>
      </c>
      <c r="U7" s="43"/>
      <c r="V7" s="44" t="n">
        <f aca="false">IFERROR(IF(COUNT(O7,Q7,S7,U7)=0,"",IF(ISNUMBER(SEARCH("تراكمي",I7)),IF(ISNUMBER(U7),U7,IF(ISNUMBER(S7),S7,IF(ISNUMBER(Q7),Q7,O7))),IF(ISNUMBER(SEARCH("متوسط",I7)),AVERAGE(O7,Q7,S7,U7),IF(AND(ISNUMBER(SEARCH("سنوي",I7)),ISERROR(SEARCH("نصف",I7))),IF(ISNUMBER(U7),U7,""),SUM(O7,Q7,S7,U7))))),"-")</f>
        <v>1080</v>
      </c>
      <c r="W7" s="45" t="n">
        <f aca="false">IF(OR(NOT(ISNUMBER(L7)),NOT(ISNUMBER(V7))),"",IFERROR(IF(ISNUMBER(SEARCH("تنازلي",H7)),  IF(V7=0,100,(L7/V7)*100),  (V7/L7)*100),"-"))</f>
        <v>54</v>
      </c>
      <c r="X7" s="45" t="n">
        <f aca="false">IF(AND(ISNUMBER(W7),ISNUMBER(J7)),MIN(W7,100)/100*J7,"")</f>
        <v>5.4</v>
      </c>
    </row>
    <row r="8" customFormat="false" ht="25.5" hidden="false" customHeight="true" outlineLevel="0" collapsed="false">
      <c r="A8" s="37" t="n">
        <f aca="false">IF(B8="","",COUNTA(B$5:B8)-1)</f>
        <v>2</v>
      </c>
      <c r="B8" s="38" t="s">
        <v>394</v>
      </c>
      <c r="C8" s="39" t="s">
        <v>395</v>
      </c>
      <c r="D8" s="40" t="str">
        <f aca="false">IFERROR(VLOOKUP($F$3,Data!$A:$B,2,0)&amp;"-S"&amp;TEXT(ROW()-ROW($D$5),"0"),"-S"&amp;TEXT(ROW()-ROW($D$5),"0"))</f>
        <v>ZF-S3</v>
      </c>
      <c r="E8" s="41" t="s">
        <v>391</v>
      </c>
      <c r="F8" s="41" t="s">
        <v>396</v>
      </c>
      <c r="G8" s="41" t="s">
        <v>392</v>
      </c>
      <c r="H8" s="41" t="s">
        <v>388</v>
      </c>
      <c r="I8" s="41" t="s">
        <v>397</v>
      </c>
      <c r="J8" s="42" t="n">
        <v>5</v>
      </c>
      <c r="K8" s="43" t="n">
        <v>3</v>
      </c>
      <c r="L8" s="43" t="n">
        <v>8</v>
      </c>
      <c r="M8" s="44" t="n">
        <f aca="false">IFERROR(IF(OR(K8="",L8="",ISNUMBER(SEARCH("متوسط",I8)),ISNUMBER(SEARCH("ليكرت",G8)),ISNUMBER(SEARCH("نوعي",E8))),"",K8+L8),"")</f>
        <v>11</v>
      </c>
      <c r="N8" s="43" t="n">
        <v>4</v>
      </c>
      <c r="O8" s="43" t="n">
        <v>4</v>
      </c>
      <c r="P8" s="43" t="n">
        <v>5</v>
      </c>
      <c r="Q8" s="43" t="n">
        <v>6</v>
      </c>
      <c r="R8" s="43" t="n">
        <v>6</v>
      </c>
      <c r="S8" s="43"/>
      <c r="T8" s="43" t="n">
        <v>8</v>
      </c>
      <c r="U8" s="43"/>
      <c r="V8" s="44" t="n">
        <f aca="false">IFERROR(IF(COUNT(O8,Q8,S8,U8)=0,"",IF(ISNUMBER(SEARCH("تراكمي",I8)),IF(ISNUMBER(U8),U8,IF(ISNUMBER(S8),S8,IF(ISNUMBER(Q8),Q8,O8))),IF(ISNUMBER(SEARCH("متوسط",I8)),AVERAGE(O8,Q8,S8,U8),IF(AND(ISNUMBER(SEARCH("سنوي",I8)),ISERROR(SEARCH("نصف",I8))),IF(ISNUMBER(U8),U8,""),SUM(O8,Q8,S8,U8))))),"-")</f>
        <v>6</v>
      </c>
      <c r="W8" s="45" t="n">
        <f aca="false">IF(OR(NOT(ISNUMBER(L8)),NOT(ISNUMBER(V8))),"",IFERROR(IF(ISNUMBER(SEARCH("تنازلي",H8)),  IF(V8=0,100,(L8/V8)*100),  (V8/L8)*100),"-"))</f>
        <v>75</v>
      </c>
      <c r="X8" s="45" t="n">
        <f aca="false">IF(AND(ISNUMBER(W8),ISNUMBER(J8)),MIN(W8,100)/100*J8,"")</f>
        <v>3.75</v>
      </c>
    </row>
    <row r="9" customFormat="false" ht="25.5" hidden="false" customHeight="true" outlineLevel="0" collapsed="false">
      <c r="A9" s="37" t="str">
        <f aca="false">IF(B9="","",COUNTA(B$5:B9)-1)</f>
        <v/>
      </c>
      <c r="B9" s="38"/>
      <c r="C9" s="39"/>
      <c r="D9" s="40" t="str">
        <f aca="false">IFERROR(VLOOKUP($F$3,Data!$A:$B,2,0)&amp;"-S"&amp;TEXT(ROW()-ROW($D$5),"0"),"-S"&amp;TEXT(ROW()-ROW($D$5),"0"))</f>
        <v>ZF-S4</v>
      </c>
      <c r="E9" s="41"/>
      <c r="F9" s="41"/>
      <c r="G9" s="41"/>
      <c r="H9" s="41"/>
      <c r="I9" s="41"/>
      <c r="J9" s="42"/>
      <c r="K9" s="43"/>
      <c r="L9" s="43"/>
      <c r="M9" s="44" t="str">
        <f aca="false">IFERROR(IF(OR(K9="",L9="",ISNUMBER(SEARCH("متوسط",I9)),ISNUMBER(SEARCH("ليكرت",G9)),ISNUMBER(SEARCH("نوعي",E9))),"",K9+L9),"")</f>
        <v/>
      </c>
      <c r="N9" s="43"/>
      <c r="O9" s="43"/>
      <c r="P9" s="43"/>
      <c r="Q9" s="43"/>
      <c r="R9" s="43"/>
      <c r="S9" s="43"/>
      <c r="T9" s="43"/>
      <c r="U9" s="43"/>
      <c r="V9" s="44" t="str">
        <f aca="false">IFERROR(IF(COUNT(O9,Q9,S9,U9)=0,"",IF(ISNUMBER(SEARCH("تراكمي",I9)),IF(ISNUMBER(U9),U9,IF(ISNUMBER(S9),S9,IF(ISNUMBER(Q9),Q9,O9))),IF(ISNUMBER(SEARCH("متوسط",I9)),AVERAGE(O9,Q9,S9,U9),IF(AND(ISNUMBER(SEARCH("سنوي",I9)),ISERROR(SEARCH("نصف",I9))),IF(ISNUMBER(U9),U9,""),SUM(O9,Q9,S9,U9))))),"-")</f>
        <v/>
      </c>
      <c r="W9" s="45" t="str">
        <f aca="false">IF(OR(NOT(ISNUMBER(L9)),NOT(ISNUMBER(V9))),"",IFERROR(IF(ISNUMBER(SEARCH("تنازلي",H9)),  IF(V9=0,100,(L9/V9)*100),  (V9/L9)*100),"-"))</f>
        <v/>
      </c>
      <c r="X9" s="45" t="str">
        <f aca="false">IF(AND(ISNUMBER(W9),ISNUMBER(J9)),MIN(W9,100)/100*J9,"")</f>
        <v/>
      </c>
    </row>
    <row r="10" customFormat="false" ht="25.5" hidden="false" customHeight="true" outlineLevel="0" collapsed="false">
      <c r="A10" s="37" t="str">
        <f aca="false">IF(B10="","",COUNTA(B$5:B10)-1)</f>
        <v/>
      </c>
      <c r="B10" s="38"/>
      <c r="C10" s="39"/>
      <c r="D10" s="40" t="str">
        <f aca="false">IFERROR(VLOOKUP($F$3,Data!$A:$B,2,0)&amp;"-S"&amp;TEXT(ROW()-ROW($D$5),"0"),"-S"&amp;TEXT(ROW()-ROW($D$5),"0"))</f>
        <v>ZF-S5</v>
      </c>
      <c r="E10" s="41"/>
      <c r="F10" s="41"/>
      <c r="G10" s="41"/>
      <c r="H10" s="41"/>
      <c r="I10" s="41"/>
      <c r="J10" s="42"/>
      <c r="K10" s="43"/>
      <c r="L10" s="43"/>
      <c r="M10" s="44" t="str">
        <f aca="false">IFERROR(IF(OR(K10="",L10="",ISNUMBER(SEARCH("متوسط",I10)),ISNUMBER(SEARCH("ليكرت",G10)),ISNUMBER(SEARCH("نوعي",E10))),"",K10+L10),"")</f>
        <v/>
      </c>
      <c r="N10" s="43"/>
      <c r="O10" s="43"/>
      <c r="P10" s="43"/>
      <c r="Q10" s="43"/>
      <c r="R10" s="43"/>
      <c r="S10" s="43"/>
      <c r="T10" s="43"/>
      <c r="U10" s="43"/>
      <c r="V10" s="44" t="str">
        <f aca="false">IFERROR(IF(COUNT(O10,Q10,S10,U10)=0,"",IF(ISNUMBER(SEARCH("تراكمي",I10)),IF(ISNUMBER(U10),U10,IF(ISNUMBER(S10),S10,IF(ISNUMBER(Q10),Q10,O10))),IF(ISNUMBER(SEARCH("متوسط",I10)),AVERAGE(O10,Q10,S10,U10),IF(AND(ISNUMBER(SEARCH("سنوي",I10)),ISERROR(SEARCH("نصف",I10))),IF(ISNUMBER(U10),U10,""),SUM(O10,Q10,S10,U10))))),"-")</f>
        <v/>
      </c>
      <c r="W10" s="45" t="str">
        <f aca="false">IF(OR(NOT(ISNUMBER(L10)),NOT(ISNUMBER(V10))),"",IFERROR(IF(ISNUMBER(SEARCH("تنازلي",H10)),  IF(V10=0,100,(L10/V10)*100),  (V10/L10)*100),"-"))</f>
        <v/>
      </c>
      <c r="X10" s="45" t="str">
        <f aca="false">IF(AND(ISNUMBER(W10),ISNUMBER(J10)),MIN(W10,100)/100*J10,"")</f>
        <v/>
      </c>
    </row>
    <row r="11" customFormat="false" ht="25.5" hidden="false" customHeight="true" outlineLevel="0" collapsed="false">
      <c r="A11" s="37" t="str">
        <f aca="false">IF(B11="","",COUNTA(B$5:B11)-1)</f>
        <v/>
      </c>
      <c r="B11" s="38"/>
      <c r="C11" s="39"/>
      <c r="D11" s="40" t="str">
        <f aca="false">IFERROR(VLOOKUP($F$3,Data!$A:$B,2,0)&amp;"-S"&amp;TEXT(ROW()-ROW($D$5),"0"),"-S"&amp;TEXT(ROW()-ROW($D$5),"0"))</f>
        <v>ZF-S6</v>
      </c>
      <c r="E11" s="41"/>
      <c r="F11" s="41"/>
      <c r="G11" s="41"/>
      <c r="H11" s="41"/>
      <c r="I11" s="41"/>
      <c r="J11" s="42"/>
      <c r="K11" s="43"/>
      <c r="L11" s="43"/>
      <c r="M11" s="44" t="str">
        <f aca="false">IFERROR(IF(OR(K11="",L11="",ISNUMBER(SEARCH("متوسط",I11)),ISNUMBER(SEARCH("ليكرت",G11)),ISNUMBER(SEARCH("نوعي",E11))),"",K11+L11),"")</f>
        <v/>
      </c>
      <c r="N11" s="43"/>
      <c r="O11" s="43"/>
      <c r="P11" s="43"/>
      <c r="Q11" s="43"/>
      <c r="R11" s="43"/>
      <c r="S11" s="43"/>
      <c r="T11" s="43"/>
      <c r="U11" s="43"/>
      <c r="V11" s="44" t="str">
        <f aca="false">IFERROR(IF(COUNT(O11,Q11,S11,U11)=0,"",IF(ISNUMBER(SEARCH("تراكمي",I11)),IF(ISNUMBER(U11),U11,IF(ISNUMBER(S11),S11,IF(ISNUMBER(Q11),Q11,O11))),IF(ISNUMBER(SEARCH("متوسط",I11)),AVERAGE(O11,Q11,S11,U11),IF(AND(ISNUMBER(SEARCH("سنوي",I11)),ISERROR(SEARCH("نصف",I11))),IF(ISNUMBER(U11),U11,""),SUM(O11,Q11,S11,U11))))),"-")</f>
        <v/>
      </c>
      <c r="W11" s="45" t="str">
        <f aca="false">IF(OR(NOT(ISNUMBER(L11)),NOT(ISNUMBER(V11))),"",IFERROR(IF(ISNUMBER(SEARCH("تنازلي",H11)),  IF(V11=0,100,(L11/V11)*100),  (V11/L11)*100),"-"))</f>
        <v/>
      </c>
      <c r="X11" s="45" t="str">
        <f aca="false">IF(AND(ISNUMBER(W11),ISNUMBER(J11)),MIN(W11,100)/100*J11,"")</f>
        <v/>
      </c>
    </row>
    <row r="12" customFormat="false" ht="25.5" hidden="false" customHeight="true" outlineLevel="0" collapsed="false">
      <c r="A12" s="37" t="str">
        <f aca="false">IF(B12="","",COUNTA(B$5:B12)-1)</f>
        <v/>
      </c>
      <c r="B12" s="38"/>
      <c r="C12" s="39"/>
      <c r="D12" s="40" t="str">
        <f aca="false">IFERROR(VLOOKUP($F$3,Data!$A:$B,2,0)&amp;"-S"&amp;TEXT(ROW()-ROW($D$5),"0"),"-S"&amp;TEXT(ROW()-ROW($D$5),"0"))</f>
        <v>ZF-S7</v>
      </c>
      <c r="E12" s="41"/>
      <c r="F12" s="41"/>
      <c r="G12" s="41"/>
      <c r="H12" s="41"/>
      <c r="I12" s="41"/>
      <c r="J12" s="42"/>
      <c r="K12" s="43"/>
      <c r="L12" s="43"/>
      <c r="M12" s="44" t="str">
        <f aca="false">IFERROR(IF(OR(K12="",L12="",ISNUMBER(SEARCH("متوسط",I12)),ISNUMBER(SEARCH("ليكرت",G12)),ISNUMBER(SEARCH("نوعي",E12))),"",K12+L12),"")</f>
        <v/>
      </c>
      <c r="N12" s="43"/>
      <c r="O12" s="43"/>
      <c r="P12" s="43"/>
      <c r="Q12" s="43"/>
      <c r="R12" s="43"/>
      <c r="S12" s="43"/>
      <c r="T12" s="43"/>
      <c r="U12" s="43"/>
      <c r="V12" s="44" t="str">
        <f aca="false">IFERROR(IF(COUNT(O12,Q12,S12,U12)=0,"",IF(ISNUMBER(SEARCH("تراكمي",I12)),IF(ISNUMBER(U12),U12,IF(ISNUMBER(S12),S12,IF(ISNUMBER(Q12),Q12,O12))),IF(ISNUMBER(SEARCH("متوسط",I12)),AVERAGE(O12,Q12,S12,U12),IF(AND(ISNUMBER(SEARCH("سنوي",I12)),ISERROR(SEARCH("نصف",I12))),IF(ISNUMBER(U12),U12,""),SUM(O12,Q12,S12,U12))))),"-")</f>
        <v/>
      </c>
      <c r="W12" s="45" t="str">
        <f aca="false">IF(OR(NOT(ISNUMBER(L12)),NOT(ISNUMBER(V12))),"",IFERROR(IF(ISNUMBER(SEARCH("تنازلي",H12)),  IF(V12=0,100,(L12/V12)*100),  (V12/L12)*100),"-"))</f>
        <v/>
      </c>
      <c r="X12" s="45" t="str">
        <f aca="false">IF(AND(ISNUMBER(W12),ISNUMBER(J12)),MIN(W12,100)/100*J12,"")</f>
        <v/>
      </c>
    </row>
    <row r="13" customFormat="false" ht="25.5" hidden="false" customHeight="true" outlineLevel="0" collapsed="false">
      <c r="A13" s="37" t="str">
        <f aca="false">IF(B13="","",COUNTA(B$5:B13)-1)</f>
        <v/>
      </c>
      <c r="B13" s="38"/>
      <c r="C13" s="39"/>
      <c r="D13" s="40" t="str">
        <f aca="false">IFERROR(VLOOKUP($F$3,Data!$A:$B,2,0)&amp;"-S"&amp;TEXT(ROW()-ROW($D$5),"0"),"-S"&amp;TEXT(ROW()-ROW($D$5),"0"))</f>
        <v>ZF-S8</v>
      </c>
      <c r="E13" s="41"/>
      <c r="F13" s="41"/>
      <c r="G13" s="41"/>
      <c r="H13" s="41"/>
      <c r="I13" s="41"/>
      <c r="J13" s="42"/>
      <c r="K13" s="43"/>
      <c r="L13" s="43"/>
      <c r="M13" s="44" t="str">
        <f aca="false">IFERROR(IF(OR(K13="",L13="",ISNUMBER(SEARCH("متوسط",I13)),ISNUMBER(SEARCH("ليكرت",G13)),ISNUMBER(SEARCH("نوعي",E13))),"",K13+L13),"")</f>
        <v/>
      </c>
      <c r="N13" s="43"/>
      <c r="O13" s="43"/>
      <c r="P13" s="43"/>
      <c r="Q13" s="43"/>
      <c r="R13" s="43"/>
      <c r="S13" s="43"/>
      <c r="T13" s="43"/>
      <c r="U13" s="43"/>
      <c r="V13" s="44" t="str">
        <f aca="false">IFERROR(IF(COUNT(O13,Q13,S13,U13)=0,"",IF(ISNUMBER(SEARCH("تراكمي",I13)),IF(ISNUMBER(U13),U13,IF(ISNUMBER(S13),S13,IF(ISNUMBER(Q13),Q13,O13))),IF(ISNUMBER(SEARCH("متوسط",I13)),AVERAGE(O13,Q13,S13,U13),IF(AND(ISNUMBER(SEARCH("سنوي",I13)),ISERROR(SEARCH("نصف",I13))),IF(ISNUMBER(U13),U13,""),SUM(O13,Q13,S13,U13))))),"-")</f>
        <v/>
      </c>
      <c r="W13" s="45" t="str">
        <f aca="false">IF(OR(NOT(ISNUMBER(L13)),NOT(ISNUMBER(V13))),"",IFERROR(IF(ISNUMBER(SEARCH("تنازلي",H13)),  IF(V13=0,100,(L13/V13)*100),  (V13/L13)*100),"-"))</f>
        <v/>
      </c>
      <c r="X13" s="45" t="str">
        <f aca="false">IF(AND(ISNUMBER(W13),ISNUMBER(J13)),MIN(W13,100)/100*J13,"")</f>
        <v/>
      </c>
    </row>
    <row r="14" customFormat="false" ht="25.5" hidden="false" customHeight="true" outlineLevel="0" collapsed="false">
      <c r="A14" s="37" t="str">
        <f aca="false">IF(B14="","",COUNTA(B$5:B14)-1)</f>
        <v/>
      </c>
      <c r="B14" s="38"/>
      <c r="C14" s="39"/>
      <c r="D14" s="40" t="str">
        <f aca="false">IFERROR(VLOOKUP($F$3,Data!$A:$B,2,0)&amp;"-S"&amp;TEXT(ROW()-ROW($D$5),"0"),"-S"&amp;TEXT(ROW()-ROW($D$5),"0"))</f>
        <v>ZF-S9</v>
      </c>
      <c r="E14" s="41"/>
      <c r="F14" s="41"/>
      <c r="G14" s="41"/>
      <c r="H14" s="41"/>
      <c r="I14" s="41"/>
      <c r="J14" s="42"/>
      <c r="K14" s="43"/>
      <c r="L14" s="43"/>
      <c r="M14" s="44" t="str">
        <f aca="false">IFERROR(IF(OR(K14="",L14="",ISNUMBER(SEARCH("متوسط",I14)),ISNUMBER(SEARCH("ليكرت",G14)),ISNUMBER(SEARCH("نوعي",E14))),"",K14+L14),"")</f>
        <v/>
      </c>
      <c r="N14" s="43"/>
      <c r="O14" s="43"/>
      <c r="P14" s="43"/>
      <c r="Q14" s="43"/>
      <c r="R14" s="43"/>
      <c r="S14" s="43"/>
      <c r="T14" s="43"/>
      <c r="U14" s="43"/>
      <c r="V14" s="44" t="str">
        <f aca="false">IFERROR(IF(COUNT(O14,Q14,S14,U14)=0,"",IF(ISNUMBER(SEARCH("تراكمي",I14)),IF(ISNUMBER(U14),U14,IF(ISNUMBER(S14),S14,IF(ISNUMBER(Q14),Q14,O14))),IF(ISNUMBER(SEARCH("متوسط",I14)),AVERAGE(O14,Q14,S14,U14),IF(AND(ISNUMBER(SEARCH("سنوي",I14)),ISERROR(SEARCH("نصف",I14))),IF(ISNUMBER(U14),U14,""),SUM(O14,Q14,S14,U14))))),"-")</f>
        <v/>
      </c>
      <c r="W14" s="45" t="str">
        <f aca="false">IF(OR(NOT(ISNUMBER(L14)),NOT(ISNUMBER(V14))),"",IFERROR(IF(ISNUMBER(SEARCH("تنازلي",H14)),  IF(V14=0,100,(L14/V14)*100),  (V14/L14)*100),"-"))</f>
        <v/>
      </c>
      <c r="X14" s="45" t="str">
        <f aca="false">IF(AND(ISNUMBER(W14),ISNUMBER(J14)),MIN(W14,100)/100*J14,"")</f>
        <v/>
      </c>
    </row>
    <row r="15" customFormat="false" ht="25.5" hidden="false" customHeight="true" outlineLevel="0" collapsed="false">
      <c r="A15" s="37" t="str">
        <f aca="false">IF(B15="","",COUNTA(B$5:B15)-1)</f>
        <v/>
      </c>
      <c r="B15" s="38"/>
      <c r="C15" s="39"/>
      <c r="D15" s="40" t="str">
        <f aca="false">IFERROR(VLOOKUP($F$3,Data!$A:$B,2,0)&amp;"-S"&amp;TEXT(ROW()-ROW($D$5),"0"),"-S"&amp;TEXT(ROW()-ROW($D$5),"0"))</f>
        <v>ZF-S10</v>
      </c>
      <c r="E15" s="41"/>
      <c r="F15" s="41"/>
      <c r="G15" s="41"/>
      <c r="H15" s="41"/>
      <c r="I15" s="41"/>
      <c r="J15" s="42"/>
      <c r="K15" s="43"/>
      <c r="L15" s="43"/>
      <c r="M15" s="44" t="str">
        <f aca="false">IFERROR(IF(OR(K15="",L15="",ISNUMBER(SEARCH("متوسط",I15)),ISNUMBER(SEARCH("ليكرت",G15)),ISNUMBER(SEARCH("نوعي",E15))),"",K15+L15),"")</f>
        <v/>
      </c>
      <c r="N15" s="43"/>
      <c r="O15" s="43"/>
      <c r="P15" s="43"/>
      <c r="Q15" s="43"/>
      <c r="R15" s="43"/>
      <c r="S15" s="43"/>
      <c r="T15" s="43"/>
      <c r="U15" s="43"/>
      <c r="V15" s="44" t="str">
        <f aca="false">IFERROR(IF(COUNT(O15,Q15,S15,U15)=0,"",IF(ISNUMBER(SEARCH("تراكمي",I15)),IF(ISNUMBER(U15),U15,IF(ISNUMBER(S15),S15,IF(ISNUMBER(Q15),Q15,O15))),IF(ISNUMBER(SEARCH("متوسط",I15)),AVERAGE(O15,Q15,S15,U15),IF(AND(ISNUMBER(SEARCH("سنوي",I15)),ISERROR(SEARCH("نصف",I15))),IF(ISNUMBER(U15),U15,""),SUM(O15,Q15,S15,U15))))),"-")</f>
        <v/>
      </c>
      <c r="W15" s="45" t="str">
        <f aca="false">IF(OR(NOT(ISNUMBER(L15)),NOT(ISNUMBER(V15))),"",IFERROR(IF(ISNUMBER(SEARCH("تنازلي",H15)),  IF(V15=0,100,(L15/V15)*100),  (V15/L15)*100),"-"))</f>
        <v/>
      </c>
      <c r="X15" s="45" t="str">
        <f aca="false">IF(AND(ISNUMBER(W15),ISNUMBER(J15)),MIN(W15,100)/100*J15,"")</f>
        <v/>
      </c>
    </row>
    <row r="16" customFormat="false" ht="25.5" hidden="false" customHeight="true" outlineLevel="0" collapsed="false">
      <c r="A16" s="37" t="str">
        <f aca="false">IF(B16="","",COUNTA(B$5:B16)-1)</f>
        <v/>
      </c>
      <c r="B16" s="38"/>
      <c r="C16" s="39"/>
      <c r="D16" s="40" t="str">
        <f aca="false">IFERROR(VLOOKUP($F$3,Data!$A:$B,2,0)&amp;"-S"&amp;TEXT(ROW()-ROW($D$5),"0"),"-S"&amp;TEXT(ROW()-ROW($D$5),"0"))</f>
        <v>ZF-S11</v>
      </c>
      <c r="E16" s="41"/>
      <c r="F16" s="41"/>
      <c r="G16" s="41"/>
      <c r="H16" s="41"/>
      <c r="I16" s="41"/>
      <c r="J16" s="42"/>
      <c r="K16" s="43"/>
      <c r="L16" s="43"/>
      <c r="M16" s="44" t="str">
        <f aca="false">IFERROR(IF(OR(K16="",L16="",ISNUMBER(SEARCH("متوسط",I16)),ISNUMBER(SEARCH("ليكرت",G16)),ISNUMBER(SEARCH("نوعي",E16))),"",K16+L16),"")</f>
        <v/>
      </c>
      <c r="N16" s="43"/>
      <c r="O16" s="43"/>
      <c r="P16" s="43"/>
      <c r="Q16" s="43"/>
      <c r="R16" s="43"/>
      <c r="S16" s="43"/>
      <c r="T16" s="43"/>
      <c r="U16" s="43"/>
      <c r="V16" s="44" t="str">
        <f aca="false">IFERROR(IF(COUNT(O16,Q16,S16,U16)=0,"",IF(ISNUMBER(SEARCH("تراكمي",I16)),IF(ISNUMBER(U16),U16,IF(ISNUMBER(S16),S16,IF(ISNUMBER(Q16),Q16,O16))),IF(ISNUMBER(SEARCH("متوسط",I16)),AVERAGE(O16,Q16,S16,U16),IF(AND(ISNUMBER(SEARCH("سنوي",I16)),ISERROR(SEARCH("نصف",I16))),IF(ISNUMBER(U16),U16,""),SUM(O16,Q16,S16,U16))))),"-")</f>
        <v/>
      </c>
      <c r="W16" s="45" t="str">
        <f aca="false">IF(OR(NOT(ISNUMBER(L16)),NOT(ISNUMBER(V16))),"",IFERROR(IF(ISNUMBER(SEARCH("تنازلي",H16)),  IF(V16=0,100,(L16/V16)*100),  (V16/L16)*100),"-"))</f>
        <v/>
      </c>
      <c r="X16" s="45" t="str">
        <f aca="false">IF(AND(ISNUMBER(W16),ISNUMBER(J16)),MIN(W16,100)/100*J16,"")</f>
        <v/>
      </c>
    </row>
    <row r="17" customFormat="false" ht="25.5" hidden="false" customHeight="true" outlineLevel="0" collapsed="false">
      <c r="A17" s="37" t="str">
        <f aca="false">IF(B17="","",COUNTA(B$5:B17)-1)</f>
        <v/>
      </c>
      <c r="B17" s="38"/>
      <c r="C17" s="39"/>
      <c r="D17" s="40" t="str">
        <f aca="false">IFERROR(VLOOKUP($F$3,Data!$A:$B,2,0)&amp;"-S"&amp;TEXT(ROW()-ROW($D$5),"0"),"-S"&amp;TEXT(ROW()-ROW($D$5),"0"))</f>
        <v>ZF-S12</v>
      </c>
      <c r="E17" s="41"/>
      <c r="F17" s="41"/>
      <c r="G17" s="41"/>
      <c r="H17" s="41"/>
      <c r="I17" s="41"/>
      <c r="J17" s="42"/>
      <c r="K17" s="43"/>
      <c r="L17" s="43"/>
      <c r="M17" s="44" t="str">
        <f aca="false">IFERROR(IF(OR(K17="",L17="",ISNUMBER(SEARCH("متوسط",I17)),ISNUMBER(SEARCH("ليكرت",G17)),ISNUMBER(SEARCH("نوعي",E17))),"",K17+L17),"")</f>
        <v/>
      </c>
      <c r="N17" s="43"/>
      <c r="O17" s="43"/>
      <c r="P17" s="43"/>
      <c r="Q17" s="43"/>
      <c r="R17" s="43"/>
      <c r="S17" s="43"/>
      <c r="T17" s="43"/>
      <c r="U17" s="43"/>
      <c r="V17" s="44" t="str">
        <f aca="false">IFERROR(IF(COUNT(O17,Q17,S17,U17)=0,"",IF(ISNUMBER(SEARCH("تراكمي",I17)),IF(ISNUMBER(U17),U17,IF(ISNUMBER(S17),S17,IF(ISNUMBER(Q17),Q17,O17))),IF(ISNUMBER(SEARCH("متوسط",I17)),AVERAGE(O17,Q17,S17,U17),IF(AND(ISNUMBER(SEARCH("سنوي",I17)),ISERROR(SEARCH("نصف",I17))),IF(ISNUMBER(U17),U17,""),SUM(O17,Q17,S17,U17))))),"-")</f>
        <v/>
      </c>
      <c r="W17" s="45" t="str">
        <f aca="false">IF(OR(NOT(ISNUMBER(L17)),NOT(ISNUMBER(V17))),"",IFERROR(IF(ISNUMBER(SEARCH("تنازلي",H17)),  IF(V17=0,100,(L17/V17)*100),  (V17/L17)*100),"-"))</f>
        <v/>
      </c>
      <c r="X17" s="45" t="str">
        <f aca="false">IF(AND(ISNUMBER(W17),ISNUMBER(J17)),MIN(W17,100)/100*J17,"")</f>
        <v/>
      </c>
    </row>
    <row r="18" customFormat="false" ht="25.5" hidden="false" customHeight="true" outlineLevel="0" collapsed="false">
      <c r="A18" s="37" t="str">
        <f aca="false">IF(B18="","",COUNTA(B$5:B18)-1)</f>
        <v/>
      </c>
      <c r="B18" s="38"/>
      <c r="C18" s="39"/>
      <c r="D18" s="40" t="str">
        <f aca="false">IFERROR(VLOOKUP($F$3,Data!$A:$B,2,0)&amp;"-S"&amp;TEXT(ROW()-ROW($D$5),"0"),"-S"&amp;TEXT(ROW()-ROW($D$5),"0"))</f>
        <v>ZF-S13</v>
      </c>
      <c r="E18" s="41"/>
      <c r="F18" s="41"/>
      <c r="G18" s="41"/>
      <c r="H18" s="41"/>
      <c r="I18" s="41"/>
      <c r="J18" s="42"/>
      <c r="K18" s="43"/>
      <c r="L18" s="43"/>
      <c r="M18" s="44" t="str">
        <f aca="false">IFERROR(IF(OR(K18="",L18="",ISNUMBER(SEARCH("متوسط",I18)),ISNUMBER(SEARCH("ليكرت",G18)),ISNUMBER(SEARCH("نوعي",E18))),"",K18+L18),"")</f>
        <v/>
      </c>
      <c r="N18" s="43"/>
      <c r="O18" s="43"/>
      <c r="P18" s="43"/>
      <c r="Q18" s="43"/>
      <c r="R18" s="43"/>
      <c r="S18" s="43"/>
      <c r="T18" s="43"/>
      <c r="U18" s="43"/>
      <c r="V18" s="44" t="str">
        <f aca="false">IFERROR(IF(COUNT(O18,Q18,S18,U18)=0,"",IF(ISNUMBER(SEARCH("تراكمي",I18)),IF(ISNUMBER(U18),U18,IF(ISNUMBER(S18),S18,IF(ISNUMBER(Q18),Q18,O18))),IF(ISNUMBER(SEARCH("متوسط",I18)),AVERAGE(O18,Q18,S18,U18),IF(AND(ISNUMBER(SEARCH("سنوي",I18)),ISERROR(SEARCH("نصف",I18))),IF(ISNUMBER(U18),U18,""),SUM(O18,Q18,S18,U18))))),"-")</f>
        <v/>
      </c>
      <c r="W18" s="45" t="str">
        <f aca="false">IF(OR(NOT(ISNUMBER(L18)),NOT(ISNUMBER(V18))),"",IFERROR(IF(ISNUMBER(SEARCH("تنازلي",H18)),  IF(V18=0,100,(L18/V18)*100),  (V18/L18)*100),"-"))</f>
        <v/>
      </c>
      <c r="X18" s="45" t="str">
        <f aca="false">IF(AND(ISNUMBER(W18),ISNUMBER(J18)),MIN(W18,100)/100*J18,"")</f>
        <v/>
      </c>
    </row>
    <row r="19" customFormat="false" ht="25.5" hidden="false" customHeight="true" outlineLevel="0" collapsed="false">
      <c r="A19" s="37" t="str">
        <f aca="false">IF(B19="","",COUNTA(B$5:B19)-1)</f>
        <v/>
      </c>
      <c r="B19" s="38"/>
      <c r="C19" s="39"/>
      <c r="D19" s="40" t="str">
        <f aca="false">IFERROR(VLOOKUP($F$3,Data!$A:$B,2,0)&amp;"-S"&amp;TEXT(ROW()-ROW($D$5),"0"),"-S"&amp;TEXT(ROW()-ROW($D$5),"0"))</f>
        <v>ZF-S14</v>
      </c>
      <c r="E19" s="41"/>
      <c r="F19" s="41"/>
      <c r="G19" s="41"/>
      <c r="H19" s="41"/>
      <c r="I19" s="41"/>
      <c r="J19" s="42"/>
      <c r="K19" s="43"/>
      <c r="L19" s="43"/>
      <c r="M19" s="44" t="str">
        <f aca="false">IFERROR(IF(OR(K19="",L19="",ISNUMBER(SEARCH("متوسط",I19)),ISNUMBER(SEARCH("ليكرت",G19)),ISNUMBER(SEARCH("نوعي",E19))),"",K19+L19),"")</f>
        <v/>
      </c>
      <c r="N19" s="43"/>
      <c r="O19" s="43"/>
      <c r="P19" s="43"/>
      <c r="Q19" s="43"/>
      <c r="R19" s="43"/>
      <c r="S19" s="43"/>
      <c r="T19" s="43"/>
      <c r="U19" s="43"/>
      <c r="V19" s="44" t="str">
        <f aca="false">IFERROR(IF(COUNT(O19,Q19,S19,U19)=0,"",IF(ISNUMBER(SEARCH("تراكمي",I19)),IF(ISNUMBER(U19),U19,IF(ISNUMBER(S19),S19,IF(ISNUMBER(Q19),Q19,O19))),IF(ISNUMBER(SEARCH("متوسط",I19)),AVERAGE(O19,Q19,S19,U19),IF(AND(ISNUMBER(SEARCH("سنوي",I19)),ISERROR(SEARCH("نصف",I19))),IF(ISNUMBER(U19),U19,""),SUM(O19,Q19,S19,U19))))),"-")</f>
        <v/>
      </c>
      <c r="W19" s="45" t="str">
        <f aca="false">IF(OR(NOT(ISNUMBER(L19)),NOT(ISNUMBER(V19))),"",IFERROR(IF(ISNUMBER(SEARCH("تنازلي",H19)),  IF(V19=0,100,(L19/V19)*100),  (V19/L19)*100),"-"))</f>
        <v/>
      </c>
      <c r="X19" s="45" t="str">
        <f aca="false">IF(AND(ISNUMBER(W19),ISNUMBER(J19)),MIN(W19,100)/100*J19,"")</f>
        <v/>
      </c>
    </row>
    <row r="20" customFormat="false" ht="25.5" hidden="false" customHeight="true" outlineLevel="0" collapsed="false">
      <c r="A20" s="37" t="str">
        <f aca="false">IF(B20="","",COUNTA(B$5:B20)-1)</f>
        <v/>
      </c>
      <c r="B20" s="38"/>
      <c r="C20" s="39"/>
      <c r="D20" s="40" t="str">
        <f aca="false">IFERROR(VLOOKUP($F$3,Data!$A:$B,2,0)&amp;"-S"&amp;TEXT(ROW()-ROW($D$5),"0"),"-S"&amp;TEXT(ROW()-ROW($D$5),"0"))</f>
        <v>ZF-S15</v>
      </c>
      <c r="E20" s="41"/>
      <c r="F20" s="41"/>
      <c r="G20" s="41"/>
      <c r="H20" s="41"/>
      <c r="I20" s="41"/>
      <c r="J20" s="42"/>
      <c r="K20" s="43"/>
      <c r="L20" s="43"/>
      <c r="M20" s="44" t="str">
        <f aca="false">IFERROR(IF(OR(K20="",L20="",ISNUMBER(SEARCH("متوسط",I20)),ISNUMBER(SEARCH("ليكرت",G20)),ISNUMBER(SEARCH("نوعي",E20))),"",K20+L20),"")</f>
        <v/>
      </c>
      <c r="N20" s="43"/>
      <c r="O20" s="43"/>
      <c r="P20" s="43"/>
      <c r="Q20" s="43"/>
      <c r="R20" s="43"/>
      <c r="S20" s="43"/>
      <c r="T20" s="43"/>
      <c r="U20" s="43"/>
      <c r="V20" s="44" t="str">
        <f aca="false">IFERROR(IF(COUNT(O20,Q20,S20,U20)=0,"",IF(ISNUMBER(SEARCH("تراكمي",I20)),IF(ISNUMBER(U20),U20,IF(ISNUMBER(S20),S20,IF(ISNUMBER(Q20),Q20,O20))),IF(ISNUMBER(SEARCH("متوسط",I20)),AVERAGE(O20,Q20,S20,U20),IF(AND(ISNUMBER(SEARCH("سنوي",I20)),ISERROR(SEARCH("نصف",I20))),IF(ISNUMBER(U20),U20,""),SUM(O20,Q20,S20,U20))))),"-")</f>
        <v/>
      </c>
      <c r="W20" s="45" t="str">
        <f aca="false">IF(OR(NOT(ISNUMBER(L20)),NOT(ISNUMBER(V20))),"",IFERROR(IF(ISNUMBER(SEARCH("تنازلي",H20)),  IF(V20=0,100,(L20/V20)*100),  (V20/L20)*100),"-"))</f>
        <v/>
      </c>
      <c r="X20" s="45" t="str">
        <f aca="false">IF(AND(ISNUMBER(W20),ISNUMBER(J20)),MIN(W20,100)/100*J20,"")</f>
        <v/>
      </c>
    </row>
    <row r="21" customFormat="false" ht="25.5" hidden="false" customHeight="true" outlineLevel="0" collapsed="false">
      <c r="A21" s="37" t="str">
        <f aca="false">IF(B21="","",COUNTA(B$5:B21)-1)</f>
        <v/>
      </c>
      <c r="B21" s="38"/>
      <c r="C21" s="39"/>
      <c r="D21" s="40" t="str">
        <f aca="false">IFERROR(VLOOKUP($F$3,Data!$A:$B,2,0)&amp;"-S"&amp;TEXT(ROW()-ROW($D$5),"0"),"-S"&amp;TEXT(ROW()-ROW($D$5),"0"))</f>
        <v>ZF-S16</v>
      </c>
      <c r="E21" s="41"/>
      <c r="F21" s="41"/>
      <c r="G21" s="41"/>
      <c r="H21" s="41"/>
      <c r="I21" s="41"/>
      <c r="J21" s="42"/>
      <c r="K21" s="43"/>
      <c r="L21" s="43"/>
      <c r="M21" s="44" t="str">
        <f aca="false">IFERROR(IF(OR(K21="",L21="",ISNUMBER(SEARCH("متوسط",I21)),ISNUMBER(SEARCH("ليكرت",G21)),ISNUMBER(SEARCH("نوعي",E21))),"",K21+L21),"")</f>
        <v/>
      </c>
      <c r="N21" s="43"/>
      <c r="O21" s="43"/>
      <c r="P21" s="43"/>
      <c r="Q21" s="43"/>
      <c r="R21" s="43"/>
      <c r="S21" s="43"/>
      <c r="T21" s="43"/>
      <c r="U21" s="43"/>
      <c r="V21" s="44" t="str">
        <f aca="false">IFERROR(IF(COUNT(O21,Q21,S21,U21)=0,"",IF(ISNUMBER(SEARCH("تراكمي",I21)),IF(ISNUMBER(U21),U21,IF(ISNUMBER(S21),S21,IF(ISNUMBER(Q21),Q21,O21))),IF(ISNUMBER(SEARCH("متوسط",I21)),AVERAGE(O21,Q21,S21,U21),IF(AND(ISNUMBER(SEARCH("سنوي",I21)),ISERROR(SEARCH("نصف",I21))),IF(ISNUMBER(U21),U21,""),SUM(O21,Q21,S21,U21))))),"-")</f>
        <v/>
      </c>
      <c r="W21" s="45" t="str">
        <f aca="false">IF(OR(NOT(ISNUMBER(L21)),NOT(ISNUMBER(V21))),"",IFERROR(IF(ISNUMBER(SEARCH("تنازلي",H21)),  IF(V21=0,100,(L21/V21)*100),  (V21/L21)*100),"-"))</f>
        <v/>
      </c>
      <c r="X21" s="45" t="str">
        <f aca="false">IF(AND(ISNUMBER(W21),ISNUMBER(J21)),MIN(W21,100)/100*J21,"")</f>
        <v/>
      </c>
    </row>
    <row r="22" customFormat="false" ht="25.5" hidden="false" customHeight="true" outlineLevel="0" collapsed="false">
      <c r="A22" s="37" t="str">
        <f aca="false">IF(B22="","",COUNTA(B$5:B22)-1)</f>
        <v/>
      </c>
      <c r="B22" s="38"/>
      <c r="C22" s="39"/>
      <c r="D22" s="40" t="str">
        <f aca="false">IFERROR(VLOOKUP($F$3,Data!$A:$B,2,0)&amp;"-S"&amp;TEXT(ROW()-ROW($D$5),"0"),"-S"&amp;TEXT(ROW()-ROW($D$5),"0"))</f>
        <v>ZF-S17</v>
      </c>
      <c r="E22" s="41"/>
      <c r="F22" s="41"/>
      <c r="G22" s="41"/>
      <c r="H22" s="41"/>
      <c r="I22" s="41"/>
      <c r="J22" s="42"/>
      <c r="K22" s="43"/>
      <c r="L22" s="43"/>
      <c r="M22" s="44" t="str">
        <f aca="false">IFERROR(IF(OR(K22="",L22="",ISNUMBER(SEARCH("متوسط",I22)),ISNUMBER(SEARCH("ليكرت",G22)),ISNUMBER(SEARCH("نوعي",E22))),"",K22+L22),"")</f>
        <v/>
      </c>
      <c r="N22" s="43"/>
      <c r="O22" s="43"/>
      <c r="P22" s="43"/>
      <c r="Q22" s="43"/>
      <c r="R22" s="43"/>
      <c r="S22" s="43"/>
      <c r="T22" s="43"/>
      <c r="U22" s="43"/>
      <c r="V22" s="44" t="str">
        <f aca="false">IFERROR(IF(COUNT(O22,Q22,S22,U22)=0,"",IF(ISNUMBER(SEARCH("تراكمي",I22)),IF(ISNUMBER(U22),U22,IF(ISNUMBER(S22),S22,IF(ISNUMBER(Q22),Q22,O22))),IF(ISNUMBER(SEARCH("متوسط",I22)),AVERAGE(O22,Q22,S22,U22),IF(AND(ISNUMBER(SEARCH("سنوي",I22)),ISERROR(SEARCH("نصف",I22))),IF(ISNUMBER(U22),U22,""),SUM(O22,Q22,S22,U22))))),"-")</f>
        <v/>
      </c>
      <c r="W22" s="45" t="str">
        <f aca="false">IF(OR(NOT(ISNUMBER(L22)),NOT(ISNUMBER(V22))),"",IFERROR(IF(ISNUMBER(SEARCH("تنازلي",H22)),  IF(V22=0,100,(L22/V22)*100),  (V22/L22)*100),"-"))</f>
        <v/>
      </c>
      <c r="X22" s="45" t="str">
        <f aca="false">IF(AND(ISNUMBER(W22),ISNUMBER(J22)),MIN(W22,100)/100*J22,"")</f>
        <v/>
      </c>
    </row>
    <row r="23" customFormat="false" ht="25.5" hidden="false" customHeight="true" outlineLevel="0" collapsed="false">
      <c r="A23" s="37" t="str">
        <f aca="false">IF(B23="","",COUNTA(B$5:B23)-1)</f>
        <v/>
      </c>
      <c r="B23" s="38"/>
      <c r="C23" s="39"/>
      <c r="D23" s="40" t="str">
        <f aca="false">IFERROR(VLOOKUP($F$3,Data!$A:$B,2,0)&amp;"-S"&amp;TEXT(ROW()-ROW($D$5),"0"),"-S"&amp;TEXT(ROW()-ROW($D$5),"0"))</f>
        <v>ZF-S18</v>
      </c>
      <c r="E23" s="41"/>
      <c r="F23" s="41"/>
      <c r="G23" s="41"/>
      <c r="H23" s="41"/>
      <c r="I23" s="41"/>
      <c r="J23" s="42"/>
      <c r="K23" s="43"/>
      <c r="L23" s="43"/>
      <c r="M23" s="44" t="str">
        <f aca="false">IFERROR(IF(OR(K23="",L23="",ISNUMBER(SEARCH("متوسط",I23)),ISNUMBER(SEARCH("ليكرت",G23)),ISNUMBER(SEARCH("نوعي",E23))),"",K23+L23),"")</f>
        <v/>
      </c>
      <c r="N23" s="43"/>
      <c r="O23" s="43"/>
      <c r="P23" s="43"/>
      <c r="Q23" s="43"/>
      <c r="R23" s="43"/>
      <c r="S23" s="43"/>
      <c r="T23" s="43"/>
      <c r="U23" s="43"/>
      <c r="V23" s="44" t="str">
        <f aca="false">IFERROR(IF(COUNT(O23,Q23,S23,U23)=0,"",IF(ISNUMBER(SEARCH("تراكمي",I23)),IF(ISNUMBER(U23),U23,IF(ISNUMBER(S23),S23,IF(ISNUMBER(Q23),Q23,O23))),IF(ISNUMBER(SEARCH("متوسط",I23)),AVERAGE(O23,Q23,S23,U23),IF(AND(ISNUMBER(SEARCH("سنوي",I23)),ISERROR(SEARCH("نصف",I23))),IF(ISNUMBER(U23),U23,""),SUM(O23,Q23,S23,U23))))),"-")</f>
        <v/>
      </c>
      <c r="W23" s="45" t="str">
        <f aca="false">IF(OR(NOT(ISNUMBER(L23)),NOT(ISNUMBER(V23))),"",IFERROR(IF(ISNUMBER(SEARCH("تنازلي",H23)),  IF(V23=0,100,(L23/V23)*100),  (V23/L23)*100),"-"))</f>
        <v/>
      </c>
      <c r="X23" s="45" t="str">
        <f aca="false">IF(AND(ISNUMBER(W23),ISNUMBER(J23)),MIN(W23,100)/100*J23,"")</f>
        <v/>
      </c>
    </row>
    <row r="24" customFormat="false" ht="25.5" hidden="false" customHeight="true" outlineLevel="0" collapsed="false">
      <c r="A24" s="37" t="str">
        <f aca="false">IF(B24="","",COUNTA(B$5:B24)-1)</f>
        <v/>
      </c>
      <c r="B24" s="38"/>
      <c r="C24" s="39"/>
      <c r="D24" s="40" t="str">
        <f aca="false">IFERROR(VLOOKUP($F$3,Data!$A:$B,2,0)&amp;"-S"&amp;TEXT(ROW()-ROW($D$5),"0"),"-S"&amp;TEXT(ROW()-ROW($D$5),"0"))</f>
        <v>ZF-S19</v>
      </c>
      <c r="E24" s="41"/>
      <c r="F24" s="41"/>
      <c r="G24" s="41"/>
      <c r="H24" s="41"/>
      <c r="I24" s="41"/>
      <c r="J24" s="42"/>
      <c r="K24" s="43"/>
      <c r="L24" s="43"/>
      <c r="M24" s="44" t="str">
        <f aca="false">IFERROR(IF(OR(K24="",L24="",ISNUMBER(SEARCH("متوسط",I24)),ISNUMBER(SEARCH("ليكرت",G24)),ISNUMBER(SEARCH("نوعي",E24))),"",K24+L24),"")</f>
        <v/>
      </c>
      <c r="N24" s="43"/>
      <c r="O24" s="43"/>
      <c r="P24" s="43"/>
      <c r="Q24" s="43"/>
      <c r="R24" s="43"/>
      <c r="S24" s="43"/>
      <c r="T24" s="43"/>
      <c r="U24" s="43"/>
      <c r="V24" s="44" t="str">
        <f aca="false">IFERROR(IF(COUNT(O24,Q24,S24,U24)=0,"",IF(ISNUMBER(SEARCH("تراكمي",I24)),IF(ISNUMBER(U24),U24,IF(ISNUMBER(S24),S24,IF(ISNUMBER(Q24),Q24,O24))),IF(ISNUMBER(SEARCH("متوسط",I24)),AVERAGE(O24,Q24,S24,U24),IF(AND(ISNUMBER(SEARCH("سنوي",I24)),ISERROR(SEARCH("نصف",I24))),IF(ISNUMBER(U24),U24,""),SUM(O24,Q24,S24,U24))))),"-")</f>
        <v/>
      </c>
      <c r="W24" s="45" t="str">
        <f aca="false">IF(OR(NOT(ISNUMBER(L24)),NOT(ISNUMBER(V24))),"",IFERROR(IF(ISNUMBER(SEARCH("تنازلي",H24)),  IF(V24=0,100,(L24/V24)*100),  (V24/L24)*100),"-"))</f>
        <v/>
      </c>
      <c r="X24" s="45" t="str">
        <f aca="false">IF(AND(ISNUMBER(W24),ISNUMBER(J24)),MIN(W24,100)/100*J24,"")</f>
        <v/>
      </c>
    </row>
    <row r="25" customFormat="false" ht="25.5" hidden="false" customHeight="true" outlineLevel="0" collapsed="false">
      <c r="A25" s="37" t="str">
        <f aca="false">IF(B25="","",COUNTA(B$5:B25)-1)</f>
        <v/>
      </c>
      <c r="B25" s="38"/>
      <c r="C25" s="39"/>
      <c r="D25" s="40" t="str">
        <f aca="false">IFERROR(VLOOKUP($F$3,Data!$A:$B,2,0)&amp;"-S"&amp;TEXT(ROW()-ROW($D$5),"0"),"-S"&amp;TEXT(ROW()-ROW($D$5),"0"))</f>
        <v>ZF-S20</v>
      </c>
      <c r="E25" s="41"/>
      <c r="F25" s="41"/>
      <c r="G25" s="41"/>
      <c r="H25" s="41"/>
      <c r="I25" s="41"/>
      <c r="J25" s="42"/>
      <c r="K25" s="43"/>
      <c r="L25" s="43"/>
      <c r="M25" s="44" t="str">
        <f aca="false">IFERROR(IF(OR(K25="",L25="",ISNUMBER(SEARCH("متوسط",I25)),ISNUMBER(SEARCH("ليكرت",G25)),ISNUMBER(SEARCH("نوعي",E25))),"",K25+L25),"")</f>
        <v/>
      </c>
      <c r="N25" s="43"/>
      <c r="O25" s="43"/>
      <c r="P25" s="43"/>
      <c r="Q25" s="43"/>
      <c r="R25" s="43"/>
      <c r="S25" s="43"/>
      <c r="T25" s="43"/>
      <c r="U25" s="43"/>
      <c r="V25" s="44" t="str">
        <f aca="false">IFERROR(IF(COUNT(O25,Q25,S25,U25)=0,"",IF(ISNUMBER(SEARCH("تراكمي",I25)),IF(ISNUMBER(U25),U25,IF(ISNUMBER(S25),S25,IF(ISNUMBER(Q25),Q25,O25))),IF(ISNUMBER(SEARCH("متوسط",I25)),AVERAGE(O25,Q25,S25,U25),IF(AND(ISNUMBER(SEARCH("سنوي",I25)),ISERROR(SEARCH("نصف",I25))),IF(ISNUMBER(U25),U25,""),SUM(O25,Q25,S25,U25))))),"-")</f>
        <v/>
      </c>
      <c r="W25" s="45" t="str">
        <f aca="false">IF(OR(NOT(ISNUMBER(L25)),NOT(ISNUMBER(V25))),"",IFERROR(IF(ISNUMBER(SEARCH("تنازلي",H25)),  IF(V25=0,100,(L25/V25)*100),  (V25/L25)*100),"-"))</f>
        <v/>
      </c>
      <c r="X25" s="45" t="str">
        <f aca="false">IF(AND(ISNUMBER(W25),ISNUMBER(J25)),MIN(W25,100)/100*J25,"")</f>
        <v/>
      </c>
    </row>
    <row r="26" customFormat="false" ht="25.5" hidden="false" customHeight="true" outlineLevel="0" collapsed="false">
      <c r="A26" s="37" t="str">
        <f aca="false">IF(B26="","",COUNTA(B$5:B26)-1)</f>
        <v/>
      </c>
      <c r="B26" s="38"/>
      <c r="C26" s="39"/>
      <c r="D26" s="40" t="str">
        <f aca="false">IFERROR(VLOOKUP($F$3,Data!$A:$B,2,0)&amp;"-S"&amp;TEXT(ROW()-ROW($D$5),"0"),"-S"&amp;TEXT(ROW()-ROW($D$5),"0"))</f>
        <v>ZF-S21</v>
      </c>
      <c r="E26" s="41"/>
      <c r="F26" s="41"/>
      <c r="G26" s="41"/>
      <c r="H26" s="41"/>
      <c r="I26" s="41"/>
      <c r="J26" s="42"/>
      <c r="K26" s="43"/>
      <c r="L26" s="43"/>
      <c r="M26" s="44" t="str">
        <f aca="false">IFERROR(IF(OR(K26="",L26="",ISNUMBER(SEARCH("متوسط",I26)),ISNUMBER(SEARCH("ليكرت",G26)),ISNUMBER(SEARCH("نوعي",E26))),"",K26+L26),"")</f>
        <v/>
      </c>
      <c r="N26" s="43"/>
      <c r="O26" s="43"/>
      <c r="P26" s="43"/>
      <c r="Q26" s="43"/>
      <c r="R26" s="43"/>
      <c r="S26" s="43"/>
      <c r="T26" s="43"/>
      <c r="U26" s="43"/>
      <c r="V26" s="44" t="str">
        <f aca="false">IFERROR(IF(COUNT(O26,Q26,S26,U26)=0,"",IF(ISNUMBER(SEARCH("تراكمي",I26)),IF(ISNUMBER(U26),U26,IF(ISNUMBER(S26),S26,IF(ISNUMBER(Q26),Q26,O26))),IF(ISNUMBER(SEARCH("متوسط",I26)),AVERAGE(O26,Q26,S26,U26),IF(AND(ISNUMBER(SEARCH("سنوي",I26)),ISERROR(SEARCH("نصف",I26))),IF(ISNUMBER(U26),U26,""),SUM(O26,Q26,S26,U26))))),"-")</f>
        <v/>
      </c>
      <c r="W26" s="45" t="str">
        <f aca="false">IF(OR(NOT(ISNUMBER(L26)),NOT(ISNUMBER(V26))),"",IFERROR(IF(ISNUMBER(SEARCH("تنازلي",H26)),  IF(V26=0,100,(L26/V26)*100),  (V26/L26)*100),"-"))</f>
        <v/>
      </c>
      <c r="X26" s="45" t="str">
        <f aca="false">IF(AND(ISNUMBER(W26),ISNUMBER(J26)),MIN(W26,100)/100*J26,"")</f>
        <v/>
      </c>
    </row>
    <row r="27" customFormat="false" ht="25.5" hidden="false" customHeight="true" outlineLevel="0" collapsed="false">
      <c r="A27" s="37" t="str">
        <f aca="false">IF(B27="","",COUNTA(B$5:B27)-1)</f>
        <v/>
      </c>
      <c r="B27" s="38"/>
      <c r="C27" s="39"/>
      <c r="D27" s="40" t="str">
        <f aca="false">IFERROR(VLOOKUP($F$3,Data!$A:$B,2,0)&amp;"-S"&amp;TEXT(ROW()-ROW($D$5),"0"),"-S"&amp;TEXT(ROW()-ROW($D$5),"0"))</f>
        <v>ZF-S22</v>
      </c>
      <c r="E27" s="41"/>
      <c r="F27" s="41"/>
      <c r="G27" s="41"/>
      <c r="H27" s="41"/>
      <c r="I27" s="41"/>
      <c r="J27" s="42"/>
      <c r="K27" s="43"/>
      <c r="L27" s="43"/>
      <c r="M27" s="44" t="str">
        <f aca="false">IFERROR(IF(OR(K27="",L27="",ISNUMBER(SEARCH("متوسط",I27)),ISNUMBER(SEARCH("ليكرت",G27)),ISNUMBER(SEARCH("نوعي",E27))),"",K27+L27),"")</f>
        <v/>
      </c>
      <c r="N27" s="43"/>
      <c r="O27" s="43"/>
      <c r="P27" s="43"/>
      <c r="Q27" s="43"/>
      <c r="R27" s="43"/>
      <c r="S27" s="43"/>
      <c r="T27" s="43"/>
      <c r="U27" s="43"/>
      <c r="V27" s="44" t="str">
        <f aca="false">IFERROR(IF(COUNT(O27,Q27,S27,U27)=0,"",IF(ISNUMBER(SEARCH("تراكمي",I27)),IF(ISNUMBER(U27),U27,IF(ISNUMBER(S27),S27,IF(ISNUMBER(Q27),Q27,O27))),IF(ISNUMBER(SEARCH("متوسط",I27)),AVERAGE(O27,Q27,S27,U27),IF(AND(ISNUMBER(SEARCH("سنوي",I27)),ISERROR(SEARCH("نصف",I27))),IF(ISNUMBER(U27),U27,""),SUM(O27,Q27,S27,U27))))),"-")</f>
        <v/>
      </c>
      <c r="W27" s="45" t="str">
        <f aca="false">IF(OR(NOT(ISNUMBER(L27)),NOT(ISNUMBER(V27))),"",IFERROR(IF(ISNUMBER(SEARCH("تنازلي",H27)),  IF(V27=0,100,(L27/V27)*100),  (V27/L27)*100),"-"))</f>
        <v/>
      </c>
      <c r="X27" s="45" t="str">
        <f aca="false">IF(AND(ISNUMBER(W27),ISNUMBER(J27)),MIN(W27,100)/100*J27,"")</f>
        <v/>
      </c>
    </row>
    <row r="28" customFormat="false" ht="25.5" hidden="false" customHeight="true" outlineLevel="0" collapsed="false">
      <c r="A28" s="37" t="str">
        <f aca="false">IF(B28="","",COUNTA(B$5:B28)-1)</f>
        <v/>
      </c>
      <c r="B28" s="38"/>
      <c r="C28" s="39"/>
      <c r="D28" s="40" t="str">
        <f aca="false">IFERROR(VLOOKUP($F$3,Data!$A:$B,2,0)&amp;"-S"&amp;TEXT(ROW()-ROW($D$5),"0"),"-S"&amp;TEXT(ROW()-ROW($D$5),"0"))</f>
        <v>ZF-S23</v>
      </c>
      <c r="E28" s="41"/>
      <c r="F28" s="41"/>
      <c r="G28" s="41"/>
      <c r="H28" s="41"/>
      <c r="I28" s="41"/>
      <c r="J28" s="42"/>
      <c r="K28" s="43"/>
      <c r="L28" s="43"/>
      <c r="M28" s="44" t="str">
        <f aca="false">IFERROR(IF(OR(K28="",L28="",ISNUMBER(SEARCH("متوسط",I28)),ISNUMBER(SEARCH("ليكرت",G28)),ISNUMBER(SEARCH("نوعي",E28))),"",K28+L28),"")</f>
        <v/>
      </c>
      <c r="N28" s="43"/>
      <c r="O28" s="43"/>
      <c r="P28" s="43"/>
      <c r="Q28" s="43"/>
      <c r="R28" s="43"/>
      <c r="S28" s="43"/>
      <c r="T28" s="43"/>
      <c r="U28" s="43"/>
      <c r="V28" s="44" t="str">
        <f aca="false">IFERROR(IF(COUNT(O28,Q28,S28,U28)=0,"",IF(ISNUMBER(SEARCH("تراكمي",I28)),IF(ISNUMBER(U28),U28,IF(ISNUMBER(S28),S28,IF(ISNUMBER(Q28),Q28,O28))),IF(ISNUMBER(SEARCH("متوسط",I28)),AVERAGE(O28,Q28,S28,U28),IF(AND(ISNUMBER(SEARCH("سنوي",I28)),ISERROR(SEARCH("نصف",I28))),IF(ISNUMBER(U28),U28,""),SUM(O28,Q28,S28,U28))))),"-")</f>
        <v/>
      </c>
      <c r="W28" s="45" t="str">
        <f aca="false">IF(OR(NOT(ISNUMBER(L28)),NOT(ISNUMBER(V28))),"",IFERROR(IF(ISNUMBER(SEARCH("تنازلي",H28)),  IF(V28=0,100,(L28/V28)*100),  (V28/L28)*100),"-"))</f>
        <v/>
      </c>
      <c r="X28" s="45" t="str">
        <f aca="false">IF(AND(ISNUMBER(W28),ISNUMBER(J28)),MIN(W28,100)/100*J28,"")</f>
        <v/>
      </c>
    </row>
    <row r="29" customFormat="false" ht="25.5" hidden="false" customHeight="true" outlineLevel="0" collapsed="false">
      <c r="A29" s="37" t="str">
        <f aca="false">IF(B29="","",COUNTA(B$5:B29)-1)</f>
        <v/>
      </c>
      <c r="B29" s="38"/>
      <c r="C29" s="39"/>
      <c r="D29" s="40" t="str">
        <f aca="false">IFERROR(VLOOKUP($F$3,Data!$A:$B,2,0)&amp;"-S"&amp;TEXT(ROW()-ROW($D$5),"0"),"-S"&amp;TEXT(ROW()-ROW($D$5),"0"))</f>
        <v>ZF-S24</v>
      </c>
      <c r="E29" s="41"/>
      <c r="F29" s="41"/>
      <c r="G29" s="41"/>
      <c r="H29" s="41"/>
      <c r="I29" s="41"/>
      <c r="J29" s="42"/>
      <c r="K29" s="43"/>
      <c r="L29" s="43"/>
      <c r="M29" s="44" t="str">
        <f aca="false">IFERROR(IF(OR(K29="",L29="",ISNUMBER(SEARCH("متوسط",I29)),ISNUMBER(SEARCH("ليكرت",G29)),ISNUMBER(SEARCH("نوعي",E29))),"",K29+L29),"")</f>
        <v/>
      </c>
      <c r="N29" s="43"/>
      <c r="O29" s="43"/>
      <c r="P29" s="43"/>
      <c r="Q29" s="43"/>
      <c r="R29" s="43"/>
      <c r="S29" s="43"/>
      <c r="T29" s="43"/>
      <c r="U29" s="43"/>
      <c r="V29" s="44" t="str">
        <f aca="false">IFERROR(IF(COUNT(O29,Q29,S29,U29)=0,"",IF(ISNUMBER(SEARCH("تراكمي",I29)),IF(ISNUMBER(U29),U29,IF(ISNUMBER(S29),S29,IF(ISNUMBER(Q29),Q29,O29))),IF(ISNUMBER(SEARCH("متوسط",I29)),AVERAGE(O29,Q29,S29,U29),IF(AND(ISNUMBER(SEARCH("سنوي",I29)),ISERROR(SEARCH("نصف",I29))),IF(ISNUMBER(U29),U29,""),SUM(O29,Q29,S29,U29))))),"-")</f>
        <v/>
      </c>
      <c r="W29" s="45" t="str">
        <f aca="false">IF(OR(NOT(ISNUMBER(L29)),NOT(ISNUMBER(V29))),"",IFERROR(IF(ISNUMBER(SEARCH("تنازلي",H29)),  IF(V29=0,100,(L29/V29)*100),  (V29/L29)*100),"-"))</f>
        <v/>
      </c>
      <c r="X29" s="45" t="str">
        <f aca="false">IF(AND(ISNUMBER(W29),ISNUMBER(J29)),MIN(W29,100)/100*J29,"")</f>
        <v/>
      </c>
    </row>
    <row r="30" customFormat="false" ht="25.5" hidden="false" customHeight="true" outlineLevel="0" collapsed="false">
      <c r="A30" s="37" t="str">
        <f aca="false">IF(B30="","",COUNTA(B$5:B30)-1)</f>
        <v/>
      </c>
      <c r="B30" s="38"/>
      <c r="C30" s="39"/>
      <c r="D30" s="40" t="str">
        <f aca="false">IFERROR(VLOOKUP($F$3,Data!$A:$B,2,0)&amp;"-S"&amp;TEXT(ROW()-ROW($D$5),"0"),"-S"&amp;TEXT(ROW()-ROW($D$5),"0"))</f>
        <v>ZF-S25</v>
      </c>
      <c r="E30" s="41"/>
      <c r="F30" s="41"/>
      <c r="G30" s="41"/>
      <c r="H30" s="41"/>
      <c r="I30" s="41"/>
      <c r="J30" s="42"/>
      <c r="K30" s="43"/>
      <c r="L30" s="43"/>
      <c r="M30" s="44" t="str">
        <f aca="false">IFERROR(IF(OR(K30="",L30="",ISNUMBER(SEARCH("متوسط",I30)),ISNUMBER(SEARCH("ليكرت",G30)),ISNUMBER(SEARCH("نوعي",E30))),"",K30+L30),"")</f>
        <v/>
      </c>
      <c r="N30" s="43"/>
      <c r="O30" s="43"/>
      <c r="P30" s="43"/>
      <c r="Q30" s="43"/>
      <c r="R30" s="43"/>
      <c r="S30" s="43"/>
      <c r="T30" s="43"/>
      <c r="U30" s="43"/>
      <c r="V30" s="44" t="str">
        <f aca="false">IFERROR(IF(COUNT(O30,Q30,S30,U30)=0,"",IF(ISNUMBER(SEARCH("تراكمي",I30)),IF(ISNUMBER(U30),U30,IF(ISNUMBER(S30),S30,IF(ISNUMBER(Q30),Q30,O30))),IF(ISNUMBER(SEARCH("متوسط",I30)),AVERAGE(O30,Q30,S30,U30),IF(AND(ISNUMBER(SEARCH("سنوي",I30)),ISERROR(SEARCH("نصف",I30))),IF(ISNUMBER(U30),U30,""),SUM(O30,Q30,S30,U30))))),"-")</f>
        <v/>
      </c>
      <c r="W30" s="45" t="str">
        <f aca="false">IF(OR(NOT(ISNUMBER(L30)),NOT(ISNUMBER(V30))),"",IFERROR(IF(ISNUMBER(SEARCH("تنازلي",H30)),  IF(V30=0,100,(L30/V30)*100),  (V30/L30)*100),"-"))</f>
        <v/>
      </c>
      <c r="X30" s="45" t="str">
        <f aca="false">IF(AND(ISNUMBER(W30),ISNUMBER(J30)),MIN(W30,100)/100*J30,"")</f>
        <v/>
      </c>
    </row>
    <row r="31" customFormat="false" ht="25.5" hidden="false" customHeight="true" outlineLevel="0" collapsed="false">
      <c r="A31" s="37" t="str">
        <f aca="false">IF(B31="","",COUNTA(B$5:B31)-1)</f>
        <v/>
      </c>
      <c r="B31" s="38"/>
      <c r="C31" s="39"/>
      <c r="D31" s="40" t="str">
        <f aca="false">IFERROR(VLOOKUP($F$3,Data!$A:$B,2,0)&amp;"-S"&amp;TEXT(ROW()-ROW($D$5),"0"),"-S"&amp;TEXT(ROW()-ROW($D$5),"0"))</f>
        <v>ZF-S26</v>
      </c>
      <c r="E31" s="41"/>
      <c r="F31" s="41"/>
      <c r="G31" s="41"/>
      <c r="H31" s="41"/>
      <c r="I31" s="41"/>
      <c r="J31" s="42"/>
      <c r="K31" s="43"/>
      <c r="L31" s="43"/>
      <c r="M31" s="44" t="str">
        <f aca="false">IFERROR(IF(OR(K31="",L31="",ISNUMBER(SEARCH("متوسط",I31)),ISNUMBER(SEARCH("ليكرت",G31)),ISNUMBER(SEARCH("نوعي",E31))),"",K31+L31),"")</f>
        <v/>
      </c>
      <c r="N31" s="43"/>
      <c r="O31" s="43"/>
      <c r="P31" s="43"/>
      <c r="Q31" s="43"/>
      <c r="R31" s="43"/>
      <c r="S31" s="43"/>
      <c r="T31" s="43"/>
      <c r="U31" s="43"/>
      <c r="V31" s="44" t="str">
        <f aca="false">IFERROR(IF(COUNT(O31,Q31,S31,U31)=0,"",IF(ISNUMBER(SEARCH("تراكمي",I31)),IF(ISNUMBER(U31),U31,IF(ISNUMBER(S31),S31,IF(ISNUMBER(Q31),Q31,O31))),IF(ISNUMBER(SEARCH("متوسط",I31)),AVERAGE(O31,Q31,S31,U31),IF(AND(ISNUMBER(SEARCH("سنوي",I31)),ISERROR(SEARCH("نصف",I31))),IF(ISNUMBER(U31),U31,""),SUM(O31,Q31,S31,U31))))),"-")</f>
        <v/>
      </c>
      <c r="W31" s="45" t="str">
        <f aca="false">IF(OR(NOT(ISNUMBER(L31)),NOT(ISNUMBER(V31))),"",IFERROR(IF(ISNUMBER(SEARCH("تنازلي",H31)),  IF(V31=0,100,(L31/V31)*100),  (V31/L31)*100),"-"))</f>
        <v/>
      </c>
      <c r="X31" s="45" t="str">
        <f aca="false">IF(AND(ISNUMBER(W31),ISNUMBER(J31)),MIN(W31,100)/100*J31,"")</f>
        <v/>
      </c>
    </row>
    <row r="32" customFormat="false" ht="25.5" hidden="false" customHeight="true" outlineLevel="0" collapsed="false">
      <c r="A32" s="37" t="str">
        <f aca="false">IF(B32="","",COUNTA(B$5:B32)-1)</f>
        <v/>
      </c>
      <c r="B32" s="38"/>
      <c r="C32" s="39"/>
      <c r="D32" s="40" t="str">
        <f aca="false">IFERROR(VLOOKUP($F$3,Data!$A:$B,2,0)&amp;"-S"&amp;TEXT(ROW()-ROW($D$5),"0"),"-S"&amp;TEXT(ROW()-ROW($D$5),"0"))</f>
        <v>ZF-S27</v>
      </c>
      <c r="E32" s="41"/>
      <c r="F32" s="41"/>
      <c r="G32" s="41"/>
      <c r="H32" s="41"/>
      <c r="I32" s="41"/>
      <c r="J32" s="42"/>
      <c r="K32" s="43"/>
      <c r="L32" s="43"/>
      <c r="M32" s="44" t="str">
        <f aca="false">IFERROR(IF(OR(K32="",L32="",ISNUMBER(SEARCH("متوسط",I32)),ISNUMBER(SEARCH("ليكرت",G32)),ISNUMBER(SEARCH("نوعي",E32))),"",K32+L32),"")</f>
        <v/>
      </c>
      <c r="N32" s="43"/>
      <c r="O32" s="43"/>
      <c r="P32" s="43"/>
      <c r="Q32" s="43"/>
      <c r="R32" s="43"/>
      <c r="S32" s="43"/>
      <c r="T32" s="43"/>
      <c r="U32" s="43"/>
      <c r="V32" s="44" t="str">
        <f aca="false">IFERROR(IF(COUNT(O32,Q32,S32,U32)=0,"",IF(ISNUMBER(SEARCH("تراكمي",I32)),IF(ISNUMBER(U32),U32,IF(ISNUMBER(S32),S32,IF(ISNUMBER(Q32),Q32,O32))),IF(ISNUMBER(SEARCH("متوسط",I32)),AVERAGE(O32,Q32,S32,U32),IF(AND(ISNUMBER(SEARCH("سنوي",I32)),ISERROR(SEARCH("نصف",I32))),IF(ISNUMBER(U32),U32,""),SUM(O32,Q32,S32,U32))))),"-")</f>
        <v/>
      </c>
      <c r="W32" s="45" t="str">
        <f aca="false">IF(OR(NOT(ISNUMBER(L32)),NOT(ISNUMBER(V32))),"",IFERROR(IF(ISNUMBER(SEARCH("تنازلي",H32)),  IF(V32=0,100,(L32/V32)*100),  (V32/L32)*100),"-"))</f>
        <v/>
      </c>
      <c r="X32" s="45" t="str">
        <f aca="false">IF(AND(ISNUMBER(W32),ISNUMBER(J32)),MIN(W32,100)/100*J32,"")</f>
        <v/>
      </c>
    </row>
    <row r="33" customFormat="false" ht="25.5" hidden="false" customHeight="true" outlineLevel="0" collapsed="false">
      <c r="A33" s="37" t="str">
        <f aca="false">IF(B33="","",COUNTA(B$5:B33)-1)</f>
        <v/>
      </c>
      <c r="B33" s="38"/>
      <c r="C33" s="39"/>
      <c r="D33" s="40" t="str">
        <f aca="false">IFERROR(VLOOKUP($F$3,Data!$A:$B,2,0)&amp;"-S"&amp;TEXT(ROW()-ROW($D$5),"0"),"-S"&amp;TEXT(ROW()-ROW($D$5),"0"))</f>
        <v>ZF-S28</v>
      </c>
      <c r="E33" s="41"/>
      <c r="F33" s="41"/>
      <c r="G33" s="41"/>
      <c r="H33" s="41"/>
      <c r="I33" s="41"/>
      <c r="J33" s="42"/>
      <c r="K33" s="43"/>
      <c r="L33" s="43"/>
      <c r="M33" s="44" t="str">
        <f aca="false">IFERROR(IF(OR(K33="",L33="",ISNUMBER(SEARCH("متوسط",I33)),ISNUMBER(SEARCH("ليكرت",G33)),ISNUMBER(SEARCH("نوعي",E33))),"",K33+L33),"")</f>
        <v/>
      </c>
      <c r="N33" s="43"/>
      <c r="O33" s="43"/>
      <c r="P33" s="43"/>
      <c r="Q33" s="43"/>
      <c r="R33" s="43"/>
      <c r="S33" s="43"/>
      <c r="T33" s="43"/>
      <c r="U33" s="43"/>
      <c r="V33" s="44" t="str">
        <f aca="false">IFERROR(IF(COUNT(O33,Q33,S33,U33)=0,"",IF(ISNUMBER(SEARCH("تراكمي",I33)),IF(ISNUMBER(U33),U33,IF(ISNUMBER(S33),S33,IF(ISNUMBER(Q33),Q33,O33))),IF(ISNUMBER(SEARCH("متوسط",I33)),AVERAGE(O33,Q33,S33,U33),IF(AND(ISNUMBER(SEARCH("سنوي",I33)),ISERROR(SEARCH("نصف",I33))),IF(ISNUMBER(U33),U33,""),SUM(O33,Q33,S33,U33))))),"-")</f>
        <v/>
      </c>
      <c r="W33" s="45" t="str">
        <f aca="false">IF(OR(NOT(ISNUMBER(L33)),NOT(ISNUMBER(V33))),"",IFERROR(IF(ISNUMBER(SEARCH("تنازلي",H33)),  IF(V33=0,100,(L33/V33)*100),  (V33/L33)*100),"-"))</f>
        <v/>
      </c>
      <c r="X33" s="45" t="str">
        <f aca="false">IF(AND(ISNUMBER(W33),ISNUMBER(J33)),MIN(W33,100)/100*J33,"")</f>
        <v/>
      </c>
    </row>
    <row r="34" customFormat="false" ht="25.5" hidden="false" customHeight="true" outlineLevel="0" collapsed="false">
      <c r="A34" s="37" t="str">
        <f aca="false">IF(B34="","",COUNTA(B$5:B34)-1)</f>
        <v/>
      </c>
      <c r="B34" s="38"/>
      <c r="C34" s="39"/>
      <c r="D34" s="40" t="str">
        <f aca="false">IFERROR(VLOOKUP($F$3,Data!$A:$B,2,0)&amp;"-S"&amp;TEXT(ROW()-ROW($D$5),"0"),"-S"&amp;TEXT(ROW()-ROW($D$5),"0"))</f>
        <v>ZF-S29</v>
      </c>
      <c r="E34" s="41"/>
      <c r="F34" s="41"/>
      <c r="G34" s="41"/>
      <c r="H34" s="41"/>
      <c r="I34" s="41"/>
      <c r="J34" s="42"/>
      <c r="K34" s="43"/>
      <c r="L34" s="43"/>
      <c r="M34" s="44" t="str">
        <f aca="false">IFERROR(IF(OR(K34="",L34="",ISNUMBER(SEARCH("متوسط",I34)),ISNUMBER(SEARCH("ليكرت",G34)),ISNUMBER(SEARCH("نوعي",E34))),"",K34+L34),"")</f>
        <v/>
      </c>
      <c r="N34" s="43"/>
      <c r="O34" s="43"/>
      <c r="P34" s="43"/>
      <c r="Q34" s="43"/>
      <c r="R34" s="43"/>
      <c r="S34" s="43"/>
      <c r="T34" s="43"/>
      <c r="U34" s="43"/>
      <c r="V34" s="44" t="str">
        <f aca="false">IFERROR(IF(COUNT(O34,Q34,S34,U34)=0,"",IF(ISNUMBER(SEARCH("تراكمي",I34)),IF(ISNUMBER(U34),U34,IF(ISNUMBER(S34),S34,IF(ISNUMBER(Q34),Q34,O34))),IF(ISNUMBER(SEARCH("متوسط",I34)),AVERAGE(O34,Q34,S34,U34),IF(AND(ISNUMBER(SEARCH("سنوي",I34)),ISERROR(SEARCH("نصف",I34))),IF(ISNUMBER(U34),U34,""),SUM(O34,Q34,S34,U34))))),"-")</f>
        <v/>
      </c>
      <c r="W34" s="45" t="str">
        <f aca="false">IF(OR(NOT(ISNUMBER(L34)),NOT(ISNUMBER(V34))),"",IFERROR(IF(ISNUMBER(SEARCH("تنازلي",H34)),  IF(V34=0,100,(L34/V34)*100),  (V34/L34)*100),"-"))</f>
        <v/>
      </c>
      <c r="X34" s="45" t="str">
        <f aca="false">IF(AND(ISNUMBER(W34),ISNUMBER(J34)),MIN(W34,100)/100*J34,"")</f>
        <v/>
      </c>
    </row>
    <row r="35" customFormat="false" ht="25.5" hidden="false" customHeight="true" outlineLevel="0" collapsed="false">
      <c r="A35" s="37" t="str">
        <f aca="false">IF(B35="","",COUNTA(B$5:B35)-1)</f>
        <v/>
      </c>
      <c r="B35" s="38"/>
      <c r="C35" s="39"/>
      <c r="D35" s="40" t="str">
        <f aca="false">IFERROR(VLOOKUP($F$3,Data!$A:$B,2,0)&amp;"-S"&amp;TEXT(ROW()-ROW($D$5),"0"),"-S"&amp;TEXT(ROW()-ROW($D$5),"0"))</f>
        <v>ZF-S30</v>
      </c>
      <c r="E35" s="41"/>
      <c r="F35" s="41"/>
      <c r="G35" s="41"/>
      <c r="H35" s="41"/>
      <c r="I35" s="41"/>
      <c r="J35" s="42"/>
      <c r="K35" s="43"/>
      <c r="L35" s="43"/>
      <c r="M35" s="44" t="str">
        <f aca="false">IFERROR(IF(OR(K35="",L35="",ISNUMBER(SEARCH("متوسط",I35)),ISNUMBER(SEARCH("ليكرت",G35)),ISNUMBER(SEARCH("نوعي",E35))),"",K35+L35),"")</f>
        <v/>
      </c>
      <c r="N35" s="43"/>
      <c r="O35" s="43"/>
      <c r="P35" s="43"/>
      <c r="Q35" s="43"/>
      <c r="R35" s="43"/>
      <c r="S35" s="43"/>
      <c r="T35" s="43"/>
      <c r="U35" s="43"/>
      <c r="V35" s="44" t="str">
        <f aca="false">IFERROR(IF(COUNT(O35,Q35,S35,U35)=0,"",IF(ISNUMBER(SEARCH("تراكمي",I35)),IF(ISNUMBER(U35),U35,IF(ISNUMBER(S35),S35,IF(ISNUMBER(Q35),Q35,O35))),IF(ISNUMBER(SEARCH("متوسط",I35)),AVERAGE(O35,Q35,S35,U35),IF(AND(ISNUMBER(SEARCH("سنوي",I35)),ISERROR(SEARCH("نصف",I35))),IF(ISNUMBER(U35),U35,""),SUM(O35,Q35,S35,U35))))),"-")</f>
        <v/>
      </c>
      <c r="W35" s="45" t="str">
        <f aca="false">IF(OR(NOT(ISNUMBER(L35)),NOT(ISNUMBER(V35))),"",IFERROR(IF(ISNUMBER(SEARCH("تنازلي",H35)),  IF(V35=0,100,(L35/V35)*100),  (V35/L35)*100),"-"))</f>
        <v/>
      </c>
      <c r="X35" s="45" t="str">
        <f aca="false">IF(AND(ISNUMBER(W35),ISNUMBER(J35)),MIN(W35,100)/100*J35,"")</f>
        <v/>
      </c>
    </row>
    <row r="36" customFormat="false" ht="20.25" hidden="false" customHeight="true" outlineLevel="0" collapsed="false">
      <c r="A36" s="46" t="s">
        <v>398</v>
      </c>
      <c r="B36" s="46"/>
      <c r="C36" s="46"/>
      <c r="D36" s="46"/>
      <c r="E36" s="46"/>
      <c r="F36" s="46"/>
      <c r="G36" s="46"/>
      <c r="H36" s="46"/>
      <c r="I36" s="46"/>
      <c r="J36" s="47" t="n">
        <f aca="false">SUM(J5:INDEX(J:J,ROW()-1))</f>
        <v>25</v>
      </c>
      <c r="K36" s="48"/>
      <c r="L36" s="48"/>
      <c r="M36" s="48"/>
      <c r="N36" s="48"/>
      <c r="O36" s="48"/>
      <c r="P36" s="48"/>
      <c r="Q36" s="48"/>
      <c r="R36" s="48"/>
      <c r="S36" s="48"/>
      <c r="T36" s="48"/>
      <c r="U36" s="48"/>
      <c r="V36" s="48"/>
      <c r="W36" s="48"/>
      <c r="X36" s="47" t="n">
        <f aca="false">IF(COUNT(X5:INDEX(X:X,ROW()-1))=0,"",SUM(X5:INDEX(X:X,ROW()-1)))</f>
        <v>19.025</v>
      </c>
    </row>
    <row r="37" customFormat="false" ht="7.5" hidden="false" customHeight="true" outlineLevel="0" collapsed="false"/>
    <row r="38" customFormat="false" ht="30" hidden="false" customHeight="true" outlineLevel="0" collapsed="false">
      <c r="A38" s="32"/>
      <c r="B38" s="4" t="s">
        <v>399</v>
      </c>
      <c r="C38" s="4"/>
      <c r="D38" s="4"/>
      <c r="E38" s="33" t="s">
        <v>355</v>
      </c>
      <c r="F38" s="33"/>
      <c r="G38" s="33"/>
      <c r="H38" s="33"/>
      <c r="I38" s="33"/>
      <c r="J38" s="33"/>
      <c r="K38" s="33"/>
      <c r="L38" s="33"/>
      <c r="M38" s="34" t="s">
        <v>356</v>
      </c>
      <c r="N38" s="33" t="s">
        <v>357</v>
      </c>
      <c r="O38" s="33"/>
      <c r="P38" s="33"/>
      <c r="Q38" s="33"/>
      <c r="R38" s="33"/>
      <c r="S38" s="33"/>
      <c r="T38" s="33"/>
      <c r="U38" s="33"/>
      <c r="V38" s="33" t="s">
        <v>358</v>
      </c>
      <c r="W38" s="33"/>
      <c r="X38" s="33"/>
    </row>
    <row r="39" customFormat="false" ht="38.25" hidden="false" customHeight="true" outlineLevel="0" collapsed="false">
      <c r="A39" s="35" t="s">
        <v>359</v>
      </c>
      <c r="B39" s="36" t="s">
        <v>360</v>
      </c>
      <c r="C39" s="36" t="s">
        <v>361</v>
      </c>
      <c r="D39" s="36" t="s">
        <v>362</v>
      </c>
      <c r="E39" s="36" t="s">
        <v>363</v>
      </c>
      <c r="F39" s="36" t="s">
        <v>364</v>
      </c>
      <c r="G39" s="36" t="s">
        <v>365</v>
      </c>
      <c r="H39" s="36" t="s">
        <v>366</v>
      </c>
      <c r="I39" s="36" t="s">
        <v>367</v>
      </c>
      <c r="J39" s="36" t="s">
        <v>368</v>
      </c>
      <c r="K39" s="36" t="s">
        <v>369</v>
      </c>
      <c r="L39" s="36" t="s">
        <v>370</v>
      </c>
      <c r="M39" s="36" t="s">
        <v>371</v>
      </c>
      <c r="N39" s="36" t="s">
        <v>372</v>
      </c>
      <c r="O39" s="36" t="s">
        <v>373</v>
      </c>
      <c r="P39" s="36" t="s">
        <v>374</v>
      </c>
      <c r="Q39" s="36" t="s">
        <v>375</v>
      </c>
      <c r="R39" s="36" t="s">
        <v>376</v>
      </c>
      <c r="S39" s="36" t="s">
        <v>377</v>
      </c>
      <c r="T39" s="36" t="s">
        <v>378</v>
      </c>
      <c r="U39" s="36" t="s">
        <v>379</v>
      </c>
      <c r="V39" s="36" t="s">
        <v>380</v>
      </c>
      <c r="W39" s="36" t="s">
        <v>381</v>
      </c>
      <c r="X39" s="36" t="s">
        <v>382</v>
      </c>
    </row>
    <row r="40" customFormat="false" ht="25.5" hidden="false" customHeight="true" outlineLevel="0" collapsed="false">
      <c r="A40" s="37" t="n">
        <f aca="false">IF(B40="","",COUNTA(B$39:B40)-1)</f>
        <v>1</v>
      </c>
      <c r="B40" s="38" t="s">
        <v>400</v>
      </c>
      <c r="C40" s="39" t="s">
        <v>401</v>
      </c>
      <c r="D40" s="40" t="str">
        <f aca="false">IFERROR(VLOOKUP($F$3,Data!$A:$B,2,0)&amp;"-P"&amp;TEXT(ROW()-ROW($D$39),"0"),"-P"&amp;TEXT(ROW()-ROW($D$39),"0"))</f>
        <v>ZF-P1</v>
      </c>
      <c r="E40" s="41" t="s">
        <v>391</v>
      </c>
      <c r="F40" s="41" t="s">
        <v>386</v>
      </c>
      <c r="G40" s="41" t="s">
        <v>402</v>
      </c>
      <c r="H40" s="41" t="s">
        <v>403</v>
      </c>
      <c r="I40" s="41" t="s">
        <v>389</v>
      </c>
      <c r="J40" s="42" t="n">
        <v>10</v>
      </c>
      <c r="K40" s="43" t="n">
        <v>10</v>
      </c>
      <c r="L40" s="43" t="n">
        <v>5</v>
      </c>
      <c r="M40" s="44" t="str">
        <f aca="false">IFERROR(IF(OR(K40="",L40="",ISNUMBER(SEARCH("متوسط",I40)),ISNUMBER(SEARCH("ليكرت",G40)),ISNUMBER(SEARCH("نوعي",E40))),"",K40+L40),"")</f>
        <v/>
      </c>
      <c r="N40" s="43" t="n">
        <v>5</v>
      </c>
      <c r="O40" s="43" t="n">
        <v>6</v>
      </c>
      <c r="P40" s="43" t="n">
        <v>5</v>
      </c>
      <c r="Q40" s="43" t="n">
        <v>4</v>
      </c>
      <c r="R40" s="43" t="n">
        <v>5</v>
      </c>
      <c r="S40" s="43"/>
      <c r="T40" s="43" t="n">
        <v>5</v>
      </c>
      <c r="U40" s="43"/>
      <c r="V40" s="44" t="n">
        <f aca="false">IFERROR(IF(COUNT(O40,Q40,S40,U40)=0,"",IF(ISNUMBER(SEARCH("تراكمي",I40)),IF(ISNUMBER(U40),U40,IF(ISNUMBER(S40),S40,IF(ISNUMBER(Q40),Q40,O40))),IF(ISNUMBER(SEARCH("متوسط",I40)),AVERAGE(O40,Q40,S40,U40),IF(AND(ISNUMBER(SEARCH("سنوي",I40)),ISERROR(SEARCH("نصف",I40))),IF(ISNUMBER(U40),U40,""),SUM(O40,Q40,S40,U40))))),"-")</f>
        <v>5</v>
      </c>
      <c r="W40" s="45" t="n">
        <f aca="false">IF(OR(NOT(ISNUMBER(L40)),NOT(ISNUMBER(V40))),"",IFERROR(IF(ISNUMBER(SEARCH("تنازلي",H40)),  IF(V40=0,100,(L40/V40)*100),  (V40/L40)*100),"-"))</f>
        <v>100</v>
      </c>
      <c r="X40" s="45" t="n">
        <f aca="false">IF(AND(ISNUMBER(W40),ISNUMBER(J40)),MIN(W40,100)/100*J40,"")</f>
        <v>10</v>
      </c>
    </row>
    <row r="41" customFormat="false" ht="25.5" hidden="false" customHeight="true" outlineLevel="0" collapsed="false">
      <c r="A41" s="37" t="str">
        <f aca="false">IF(B41="","",COUNTA(B$39:B41)-1)</f>
        <v/>
      </c>
      <c r="B41" s="38"/>
      <c r="C41" s="39" t="s">
        <v>404</v>
      </c>
      <c r="D41" s="40" t="str">
        <f aca="false">IFERROR(VLOOKUP($F$3,Data!$A:$B,2,0)&amp;"-P"&amp;TEXT(ROW()-ROW($D$39),"0"),"-P"&amp;TEXT(ROW()-ROW($D$39),"0"))</f>
        <v>ZF-P2</v>
      </c>
      <c r="E41" s="41" t="s">
        <v>385</v>
      </c>
      <c r="F41" s="41" t="s">
        <v>386</v>
      </c>
      <c r="G41" s="41" t="s">
        <v>387</v>
      </c>
      <c r="H41" s="41" t="s">
        <v>388</v>
      </c>
      <c r="I41" s="41" t="s">
        <v>405</v>
      </c>
      <c r="J41" s="42" t="n">
        <v>10</v>
      </c>
      <c r="K41" s="43" t="n">
        <v>0</v>
      </c>
      <c r="L41" s="43" t="n">
        <v>100</v>
      </c>
      <c r="M41" s="44" t="n">
        <f aca="false">IFERROR(IF(OR(K41="",L41="",ISNUMBER(SEARCH("متوسط",I41)),ISNUMBER(SEARCH("ليكرت",G41)),ISNUMBER(SEARCH("نوعي",E41))),"",K41+L41),"")</f>
        <v>100</v>
      </c>
      <c r="N41" s="43"/>
      <c r="O41" s="43"/>
      <c r="P41" s="43" t="n">
        <v>50</v>
      </c>
      <c r="Q41" s="43" t="n">
        <v>40</v>
      </c>
      <c r="R41" s="43"/>
      <c r="S41" s="43"/>
      <c r="T41" s="43" t="n">
        <v>100</v>
      </c>
      <c r="U41" s="43"/>
      <c r="V41" s="44" t="n">
        <f aca="false">IFERROR(IF(COUNT(O41,Q41,S41,U41)=0,"",IF(ISNUMBER(SEARCH("تراكمي",I41)),IF(ISNUMBER(U41),U41,IF(ISNUMBER(S41),S41,IF(ISNUMBER(Q41),Q41,O41))),IF(ISNUMBER(SEARCH("متوسط",I41)),AVERAGE(O41,Q41,S41,U41),IF(AND(ISNUMBER(SEARCH("سنوي",I41)),ISERROR(SEARCH("نصف",I41))),IF(ISNUMBER(U41),U41,""),SUM(O41,Q41,S41,U41))))),"-")</f>
        <v>40</v>
      </c>
      <c r="W41" s="45" t="n">
        <f aca="false">IF(OR(NOT(ISNUMBER(L41)),NOT(ISNUMBER(V41))),"",IFERROR(IF(ISNUMBER(SEARCH("تنازلي",H41)),  IF(V41=0,100,(L41/V41)*100),  (V41/L41)*100),"-"))</f>
        <v>40</v>
      </c>
      <c r="X41" s="45" t="n">
        <f aca="false">IF(AND(ISNUMBER(W41),ISNUMBER(J41)),MIN(W41,100)/100*J41,"")</f>
        <v>4</v>
      </c>
    </row>
    <row r="42" customFormat="false" ht="25.5" hidden="false" customHeight="true" outlineLevel="0" collapsed="false">
      <c r="A42" s="37" t="str">
        <f aca="false">IF(B42="","",COUNTA(B$39:B42)-1)</f>
        <v/>
      </c>
      <c r="B42" s="38"/>
      <c r="C42" s="39" t="s">
        <v>406</v>
      </c>
      <c r="D42" s="40" t="str">
        <f aca="false">IFERROR(VLOOKUP($F$3,Data!$A:$B,2,0)&amp;"-P"&amp;TEXT(ROW()-ROW($D$39),"0"),"-P"&amp;TEXT(ROW()-ROW($D$39),"0"))</f>
        <v>ZF-P3</v>
      </c>
      <c r="E42" s="41" t="s">
        <v>391</v>
      </c>
      <c r="F42" s="41" t="s">
        <v>386</v>
      </c>
      <c r="G42" s="41" t="s">
        <v>392</v>
      </c>
      <c r="H42" s="41" t="s">
        <v>403</v>
      </c>
      <c r="I42" s="41" t="s">
        <v>393</v>
      </c>
      <c r="J42" s="42" t="n">
        <v>5</v>
      </c>
      <c r="K42" s="43" t="n">
        <v>30</v>
      </c>
      <c r="L42" s="43" t="n">
        <v>20</v>
      </c>
      <c r="M42" s="44" t="n">
        <f aca="false">IFERROR(IF(OR(K42="",L42="",ISNUMBER(SEARCH("متوسط",I42)),ISNUMBER(SEARCH("ليكرت",G42)),ISNUMBER(SEARCH("نوعي",E42))),"",K42+L42),"")</f>
        <v>50</v>
      </c>
      <c r="N42" s="43" t="n">
        <v>5</v>
      </c>
      <c r="O42" s="43" t="n">
        <v>0</v>
      </c>
      <c r="P42" s="43" t="n">
        <v>5</v>
      </c>
      <c r="Q42" s="43" t="n">
        <v>0</v>
      </c>
      <c r="R42" s="43" t="n">
        <v>5</v>
      </c>
      <c r="S42" s="43"/>
      <c r="T42" s="43" t="n">
        <v>5</v>
      </c>
      <c r="U42" s="43"/>
      <c r="V42" s="44" t="n">
        <f aca="false">IFERROR(IF(COUNT(O42,Q42,S42,U42)=0,"",IF(ISNUMBER(SEARCH("تراكمي",I42)),IF(ISNUMBER(U42),U42,IF(ISNUMBER(S42),S42,IF(ISNUMBER(Q42),Q42,O42))),IF(ISNUMBER(SEARCH("متوسط",I42)),AVERAGE(O42,Q42,S42,U42),IF(AND(ISNUMBER(SEARCH("سنوي",I42)),ISERROR(SEARCH("نصف",I42))),IF(ISNUMBER(U42),U42,""),SUM(O42,Q42,S42,U42))))),"-")</f>
        <v>0</v>
      </c>
      <c r="W42" s="45" t="n">
        <f aca="false">IF(OR(NOT(ISNUMBER(L42)),NOT(ISNUMBER(V42))),"",IFERROR(IF(ISNUMBER(SEARCH("تنازلي",H42)),  IF(V42=0,100,(L42/V42)*100),  (V42/L42)*100),"-"))</f>
        <v>100</v>
      </c>
      <c r="X42" s="45" t="n">
        <f aca="false">IF(AND(ISNUMBER(W42),ISNUMBER(J42)),MIN(W42,100)/100*J42,"")</f>
        <v>5</v>
      </c>
    </row>
    <row r="43" customFormat="false" ht="25.5" hidden="false" customHeight="true" outlineLevel="0" collapsed="false">
      <c r="A43" s="37" t="str">
        <f aca="false">IF(B43="","",COUNTA(B$39:B43)-1)</f>
        <v/>
      </c>
      <c r="B43" s="38"/>
      <c r="C43" s="39"/>
      <c r="D43" s="40" t="str">
        <f aca="false">IFERROR(VLOOKUP($F$3,Data!$A:$B,2,0)&amp;"-P"&amp;TEXT(ROW()-ROW($D$39),"0"),"-P"&amp;TEXT(ROW()-ROW($D$39),"0"))</f>
        <v>ZF-P4</v>
      </c>
      <c r="E43" s="41"/>
      <c r="F43" s="41"/>
      <c r="G43" s="41"/>
      <c r="H43" s="41"/>
      <c r="I43" s="41"/>
      <c r="J43" s="42"/>
      <c r="K43" s="43"/>
      <c r="L43" s="43"/>
      <c r="M43" s="44" t="str">
        <f aca="false">IFERROR(IF(OR(K43="",L43="",ISNUMBER(SEARCH("متوسط",I43)),ISNUMBER(SEARCH("ليكرت",G43)),ISNUMBER(SEARCH("نوعي",E43))),"",K43+L43),"")</f>
        <v/>
      </c>
      <c r="N43" s="43"/>
      <c r="O43" s="43"/>
      <c r="P43" s="43"/>
      <c r="Q43" s="43"/>
      <c r="R43" s="43"/>
      <c r="S43" s="43"/>
      <c r="T43" s="43"/>
      <c r="U43" s="43"/>
      <c r="V43" s="44" t="str">
        <f aca="false">IFERROR(IF(COUNT(O43,Q43,S43,U43)=0,"",IF(ISNUMBER(SEARCH("تراكمي",I43)),IF(ISNUMBER(U43),U43,IF(ISNUMBER(S43),S43,IF(ISNUMBER(Q43),Q43,O43))),IF(ISNUMBER(SEARCH("متوسط",I43)),AVERAGE(O43,Q43,S43,U43),IF(AND(ISNUMBER(SEARCH("سنوي",I43)),ISERROR(SEARCH("نصف",I43))),IF(ISNUMBER(U43),U43,""),SUM(O43,Q43,S43,U43))))),"-")</f>
        <v/>
      </c>
      <c r="W43" s="45" t="str">
        <f aca="false">IF(OR(NOT(ISNUMBER(L43)),NOT(ISNUMBER(V43))),"",IFERROR(IF(ISNUMBER(SEARCH("تنازلي",H43)),  IF(V43=0,100,(L43/V43)*100),  (V43/L43)*100),"-"))</f>
        <v/>
      </c>
      <c r="X43" s="45" t="str">
        <f aca="false">IF(AND(ISNUMBER(W43),ISNUMBER(J43)),MIN(W43,100)/100*J43,"")</f>
        <v/>
      </c>
    </row>
    <row r="44" customFormat="false" ht="25.5" hidden="false" customHeight="true" outlineLevel="0" collapsed="false">
      <c r="A44" s="37" t="str">
        <f aca="false">IF(B44="","",COUNTA(B$39:B44)-1)</f>
        <v/>
      </c>
      <c r="B44" s="38"/>
      <c r="C44" s="39"/>
      <c r="D44" s="40" t="str">
        <f aca="false">IFERROR(VLOOKUP($F$3,Data!$A:$B,2,0)&amp;"-P"&amp;TEXT(ROW()-ROW($D$39),"0"),"-P"&amp;TEXT(ROW()-ROW($D$39),"0"))</f>
        <v>ZF-P5</v>
      </c>
      <c r="E44" s="41"/>
      <c r="F44" s="41"/>
      <c r="G44" s="41"/>
      <c r="H44" s="41"/>
      <c r="I44" s="41"/>
      <c r="J44" s="42"/>
      <c r="K44" s="43"/>
      <c r="L44" s="43"/>
      <c r="M44" s="44" t="str">
        <f aca="false">IFERROR(IF(OR(K44="",L44="",ISNUMBER(SEARCH("متوسط",I44)),ISNUMBER(SEARCH("ليكرت",G44)),ISNUMBER(SEARCH("نوعي",E44))),"",K44+L44),"")</f>
        <v/>
      </c>
      <c r="N44" s="43"/>
      <c r="O44" s="43"/>
      <c r="P44" s="43"/>
      <c r="Q44" s="43"/>
      <c r="R44" s="43"/>
      <c r="S44" s="43"/>
      <c r="T44" s="43"/>
      <c r="U44" s="43"/>
      <c r="V44" s="44" t="str">
        <f aca="false">IFERROR(IF(COUNT(O44,Q44,S44,U44)=0,"",IF(ISNUMBER(SEARCH("تراكمي",I44)),IF(ISNUMBER(U44),U44,IF(ISNUMBER(S44),S44,IF(ISNUMBER(Q44),Q44,O44))),IF(ISNUMBER(SEARCH("متوسط",I44)),AVERAGE(O44,Q44,S44,U44),IF(AND(ISNUMBER(SEARCH("سنوي",I44)),ISERROR(SEARCH("نصف",I44))),IF(ISNUMBER(U44),U44,""),SUM(O44,Q44,S44,U44))))),"-")</f>
        <v/>
      </c>
      <c r="W44" s="45" t="str">
        <f aca="false">IF(OR(NOT(ISNUMBER(L44)),NOT(ISNUMBER(V44))),"",IFERROR(IF(ISNUMBER(SEARCH("تنازلي",H44)),  IF(V44=0,100,(L44/V44)*100),  (V44/L44)*100),"-"))</f>
        <v/>
      </c>
      <c r="X44" s="45" t="str">
        <f aca="false">IF(AND(ISNUMBER(W44),ISNUMBER(J44)),MIN(W44,100)/100*J44,"")</f>
        <v/>
      </c>
    </row>
    <row r="45" customFormat="false" ht="25.5" hidden="false" customHeight="true" outlineLevel="0" collapsed="false">
      <c r="A45" s="37" t="str">
        <f aca="false">IF(B45="","",COUNTA(B$39:B45)-1)</f>
        <v/>
      </c>
      <c r="B45" s="38"/>
      <c r="C45" s="39"/>
      <c r="D45" s="40" t="str">
        <f aca="false">IFERROR(VLOOKUP($F$3,Data!$A:$B,2,0)&amp;"-P"&amp;TEXT(ROW()-ROW($D$39),"0"),"-P"&amp;TEXT(ROW()-ROW($D$39),"0"))</f>
        <v>ZF-P6</v>
      </c>
      <c r="E45" s="41"/>
      <c r="F45" s="41"/>
      <c r="G45" s="41"/>
      <c r="H45" s="41"/>
      <c r="I45" s="41"/>
      <c r="J45" s="42"/>
      <c r="K45" s="43"/>
      <c r="L45" s="43"/>
      <c r="M45" s="44" t="str">
        <f aca="false">IFERROR(IF(OR(K45="",L45="",ISNUMBER(SEARCH("متوسط",I45)),ISNUMBER(SEARCH("ليكرت",G45)),ISNUMBER(SEARCH("نوعي",E45))),"",K45+L45),"")</f>
        <v/>
      </c>
      <c r="N45" s="43"/>
      <c r="O45" s="43"/>
      <c r="P45" s="43"/>
      <c r="Q45" s="43"/>
      <c r="R45" s="43"/>
      <c r="S45" s="43"/>
      <c r="T45" s="43"/>
      <c r="U45" s="43"/>
      <c r="V45" s="44" t="str">
        <f aca="false">IFERROR(IF(COUNT(O45,Q45,S45,U45)=0,"",IF(ISNUMBER(SEARCH("تراكمي",I45)),IF(ISNUMBER(U45),U45,IF(ISNUMBER(S45),S45,IF(ISNUMBER(Q45),Q45,O45))),IF(ISNUMBER(SEARCH("متوسط",I45)),AVERAGE(O45,Q45,S45,U45),IF(AND(ISNUMBER(SEARCH("سنوي",I45)),ISERROR(SEARCH("نصف",I45))),IF(ISNUMBER(U45),U45,""),SUM(O45,Q45,S45,U45))))),"-")</f>
        <v/>
      </c>
      <c r="W45" s="45" t="str">
        <f aca="false">IF(OR(NOT(ISNUMBER(L45)),NOT(ISNUMBER(V45))),"",IFERROR(IF(ISNUMBER(SEARCH("تنازلي",H45)),  IF(V45=0,100,(L45/V45)*100),  (V45/L45)*100),"-"))</f>
        <v/>
      </c>
      <c r="X45" s="45" t="str">
        <f aca="false">IF(AND(ISNUMBER(W45),ISNUMBER(J45)),MIN(W45,100)/100*J45,"")</f>
        <v/>
      </c>
    </row>
    <row r="46" customFormat="false" ht="25.5" hidden="false" customHeight="true" outlineLevel="0" collapsed="false">
      <c r="A46" s="37" t="str">
        <f aca="false">IF(B46="","",COUNTA(B$39:B46)-1)</f>
        <v/>
      </c>
      <c r="B46" s="38"/>
      <c r="C46" s="39"/>
      <c r="D46" s="40" t="str">
        <f aca="false">IFERROR(VLOOKUP($F$3,Data!$A:$B,2,0)&amp;"-P"&amp;TEXT(ROW()-ROW($D$39),"0"),"-P"&amp;TEXT(ROW()-ROW($D$39),"0"))</f>
        <v>ZF-P7</v>
      </c>
      <c r="E46" s="41"/>
      <c r="F46" s="41"/>
      <c r="G46" s="41"/>
      <c r="H46" s="41"/>
      <c r="I46" s="41"/>
      <c r="J46" s="42"/>
      <c r="K46" s="43"/>
      <c r="L46" s="43"/>
      <c r="M46" s="44" t="str">
        <f aca="false">IFERROR(IF(OR(K46="",L46="",ISNUMBER(SEARCH("متوسط",I46)),ISNUMBER(SEARCH("ليكرت",G46)),ISNUMBER(SEARCH("نوعي",E46))),"",K46+L46),"")</f>
        <v/>
      </c>
      <c r="N46" s="43"/>
      <c r="O46" s="43"/>
      <c r="P46" s="43"/>
      <c r="Q46" s="43"/>
      <c r="R46" s="43"/>
      <c r="S46" s="43"/>
      <c r="T46" s="43"/>
      <c r="U46" s="43"/>
      <c r="V46" s="44" t="str">
        <f aca="false">IFERROR(IF(COUNT(O46,Q46,S46,U46)=0,"",IF(ISNUMBER(SEARCH("تراكمي",I46)),IF(ISNUMBER(U46),U46,IF(ISNUMBER(S46),S46,IF(ISNUMBER(Q46),Q46,O46))),IF(ISNUMBER(SEARCH("متوسط",I46)),AVERAGE(O46,Q46,S46,U46),IF(AND(ISNUMBER(SEARCH("سنوي",I46)),ISERROR(SEARCH("نصف",I46))),IF(ISNUMBER(U46),U46,""),SUM(O46,Q46,S46,U46))))),"-")</f>
        <v/>
      </c>
      <c r="W46" s="45" t="str">
        <f aca="false">IF(OR(NOT(ISNUMBER(L46)),NOT(ISNUMBER(V46))),"",IFERROR(IF(ISNUMBER(SEARCH("تنازلي",H46)),  IF(V46=0,100,(L46/V46)*100),  (V46/L46)*100),"-"))</f>
        <v/>
      </c>
      <c r="X46" s="45" t="str">
        <f aca="false">IF(AND(ISNUMBER(W46),ISNUMBER(J46)),MIN(W46,100)/100*J46,"")</f>
        <v/>
      </c>
    </row>
    <row r="47" customFormat="false" ht="25.5" hidden="false" customHeight="true" outlineLevel="0" collapsed="false">
      <c r="A47" s="37" t="str">
        <f aca="false">IF(B47="","",COUNTA(B$39:B47)-1)</f>
        <v/>
      </c>
      <c r="B47" s="38"/>
      <c r="C47" s="39"/>
      <c r="D47" s="40" t="str">
        <f aca="false">IFERROR(VLOOKUP($F$3,Data!$A:$B,2,0)&amp;"-P"&amp;TEXT(ROW()-ROW($D$39),"0"),"-P"&amp;TEXT(ROW()-ROW($D$39),"0"))</f>
        <v>ZF-P8</v>
      </c>
      <c r="E47" s="41"/>
      <c r="F47" s="41"/>
      <c r="G47" s="41"/>
      <c r="H47" s="41"/>
      <c r="I47" s="41"/>
      <c r="J47" s="42"/>
      <c r="K47" s="43"/>
      <c r="L47" s="43"/>
      <c r="M47" s="44" t="str">
        <f aca="false">IFERROR(IF(OR(K47="",L47="",ISNUMBER(SEARCH("متوسط",I47)),ISNUMBER(SEARCH("ليكرت",G47)),ISNUMBER(SEARCH("نوعي",E47))),"",K47+L47),"")</f>
        <v/>
      </c>
      <c r="N47" s="43"/>
      <c r="O47" s="43"/>
      <c r="P47" s="43"/>
      <c r="Q47" s="43"/>
      <c r="R47" s="43"/>
      <c r="S47" s="43"/>
      <c r="T47" s="43"/>
      <c r="U47" s="43"/>
      <c r="V47" s="44" t="str">
        <f aca="false">IFERROR(IF(COUNT(O47,Q47,S47,U47)=0,"",IF(ISNUMBER(SEARCH("تراكمي",I47)),IF(ISNUMBER(U47),U47,IF(ISNUMBER(S47),S47,IF(ISNUMBER(Q47),Q47,O47))),IF(ISNUMBER(SEARCH("متوسط",I47)),AVERAGE(O47,Q47,S47,U47),IF(AND(ISNUMBER(SEARCH("سنوي",I47)),ISERROR(SEARCH("نصف",I47))),IF(ISNUMBER(U47),U47,""),SUM(O47,Q47,S47,U47))))),"-")</f>
        <v/>
      </c>
      <c r="W47" s="45" t="str">
        <f aca="false">IF(OR(NOT(ISNUMBER(L47)),NOT(ISNUMBER(V47))),"",IFERROR(IF(ISNUMBER(SEARCH("تنازلي",H47)),  IF(V47=0,100,(L47/V47)*100),  (V47/L47)*100),"-"))</f>
        <v/>
      </c>
      <c r="X47" s="45" t="str">
        <f aca="false">IF(AND(ISNUMBER(W47),ISNUMBER(J47)),MIN(W47,100)/100*J47,"")</f>
        <v/>
      </c>
    </row>
    <row r="48" customFormat="false" ht="25.5" hidden="false" customHeight="true" outlineLevel="0" collapsed="false">
      <c r="A48" s="37" t="str">
        <f aca="false">IF(B48="","",COUNTA(B$39:B48)-1)</f>
        <v/>
      </c>
      <c r="B48" s="38"/>
      <c r="C48" s="39"/>
      <c r="D48" s="40" t="str">
        <f aca="false">IFERROR(VLOOKUP($F$3,Data!$A:$B,2,0)&amp;"-P"&amp;TEXT(ROW()-ROW($D$39),"0"),"-P"&amp;TEXT(ROW()-ROW($D$39),"0"))</f>
        <v>ZF-P9</v>
      </c>
      <c r="E48" s="41"/>
      <c r="F48" s="41"/>
      <c r="G48" s="41"/>
      <c r="H48" s="41"/>
      <c r="I48" s="41"/>
      <c r="J48" s="42"/>
      <c r="K48" s="43"/>
      <c r="L48" s="43"/>
      <c r="M48" s="44" t="str">
        <f aca="false">IFERROR(IF(OR(K48="",L48="",ISNUMBER(SEARCH("متوسط",I48)),ISNUMBER(SEARCH("ليكرت",G48)),ISNUMBER(SEARCH("نوعي",E48))),"",K48+L48),"")</f>
        <v/>
      </c>
      <c r="N48" s="43"/>
      <c r="O48" s="43"/>
      <c r="P48" s="43"/>
      <c r="Q48" s="43"/>
      <c r="R48" s="43"/>
      <c r="S48" s="43"/>
      <c r="T48" s="43"/>
      <c r="U48" s="43"/>
      <c r="V48" s="44" t="str">
        <f aca="false">IFERROR(IF(COUNT(O48,Q48,S48,U48)=0,"",IF(ISNUMBER(SEARCH("تراكمي",I48)),IF(ISNUMBER(U48),U48,IF(ISNUMBER(S48),S48,IF(ISNUMBER(Q48),Q48,O48))),IF(ISNUMBER(SEARCH("متوسط",I48)),AVERAGE(O48,Q48,S48,U48),IF(AND(ISNUMBER(SEARCH("سنوي",I48)),ISERROR(SEARCH("نصف",I48))),IF(ISNUMBER(U48),U48,""),SUM(O48,Q48,S48,U48))))),"-")</f>
        <v/>
      </c>
      <c r="W48" s="45" t="str">
        <f aca="false">IF(OR(NOT(ISNUMBER(L48)),NOT(ISNUMBER(V48))),"",IFERROR(IF(ISNUMBER(SEARCH("تنازلي",H48)),  IF(V48=0,100,(L48/V48)*100),  (V48/L48)*100),"-"))</f>
        <v/>
      </c>
      <c r="X48" s="45" t="str">
        <f aca="false">IF(AND(ISNUMBER(W48),ISNUMBER(J48)),MIN(W48,100)/100*J48,"")</f>
        <v/>
      </c>
    </row>
    <row r="49" customFormat="false" ht="25.5" hidden="false" customHeight="true" outlineLevel="0" collapsed="false">
      <c r="A49" s="37" t="str">
        <f aca="false">IF(B49="","",COUNTA(B$39:B49)-1)</f>
        <v/>
      </c>
      <c r="B49" s="38"/>
      <c r="C49" s="39"/>
      <c r="D49" s="40" t="str">
        <f aca="false">IFERROR(VLOOKUP($F$3,Data!$A:$B,2,0)&amp;"-P"&amp;TEXT(ROW()-ROW($D$39),"0"),"-P"&amp;TEXT(ROW()-ROW($D$39),"0"))</f>
        <v>ZF-P10</v>
      </c>
      <c r="E49" s="41"/>
      <c r="F49" s="41"/>
      <c r="G49" s="41"/>
      <c r="H49" s="41"/>
      <c r="I49" s="41"/>
      <c r="J49" s="42"/>
      <c r="K49" s="43"/>
      <c r="L49" s="43"/>
      <c r="M49" s="44" t="str">
        <f aca="false">IFERROR(IF(OR(K49="",L49="",ISNUMBER(SEARCH("متوسط",I49)),ISNUMBER(SEARCH("ليكرت",G49)),ISNUMBER(SEARCH("نوعي",E49))),"",K49+L49),"")</f>
        <v/>
      </c>
      <c r="N49" s="43"/>
      <c r="O49" s="43"/>
      <c r="P49" s="43"/>
      <c r="Q49" s="43"/>
      <c r="R49" s="43"/>
      <c r="S49" s="43"/>
      <c r="T49" s="43"/>
      <c r="U49" s="43"/>
      <c r="V49" s="44" t="str">
        <f aca="false">IFERROR(IF(COUNT(O49,Q49,S49,U49)=0,"",IF(ISNUMBER(SEARCH("تراكمي",I49)),IF(ISNUMBER(U49),U49,IF(ISNUMBER(S49),S49,IF(ISNUMBER(Q49),Q49,O49))),IF(ISNUMBER(SEARCH("متوسط",I49)),AVERAGE(O49,Q49,S49,U49),IF(AND(ISNUMBER(SEARCH("سنوي",I49)),ISERROR(SEARCH("نصف",I49))),IF(ISNUMBER(U49),U49,""),SUM(O49,Q49,S49,U49))))),"-")</f>
        <v/>
      </c>
      <c r="W49" s="45" t="str">
        <f aca="false">IF(OR(NOT(ISNUMBER(L49)),NOT(ISNUMBER(V49))),"",IFERROR(IF(ISNUMBER(SEARCH("تنازلي",H49)),  IF(V49=0,100,(L49/V49)*100),  (V49/L49)*100),"-"))</f>
        <v/>
      </c>
      <c r="X49" s="45" t="str">
        <f aca="false">IF(AND(ISNUMBER(W49),ISNUMBER(J49)),MIN(W49,100)/100*J49,"")</f>
        <v/>
      </c>
    </row>
    <row r="50" customFormat="false" ht="25.5" hidden="false" customHeight="true" outlineLevel="0" collapsed="false">
      <c r="A50" s="37" t="str">
        <f aca="false">IF(B50="","",COUNTA(B$39:B50)-1)</f>
        <v/>
      </c>
      <c r="B50" s="38"/>
      <c r="C50" s="39"/>
      <c r="D50" s="40" t="str">
        <f aca="false">IFERROR(VLOOKUP($F$3,Data!$A:$B,2,0)&amp;"-P"&amp;TEXT(ROW()-ROW($D$39),"0"),"-P"&amp;TEXT(ROW()-ROW($D$39),"0"))</f>
        <v>ZF-P11</v>
      </c>
      <c r="E50" s="41"/>
      <c r="F50" s="41"/>
      <c r="G50" s="41"/>
      <c r="H50" s="41"/>
      <c r="I50" s="41"/>
      <c r="J50" s="42"/>
      <c r="K50" s="43"/>
      <c r="L50" s="43"/>
      <c r="M50" s="44" t="str">
        <f aca="false">IFERROR(IF(OR(K50="",L50="",ISNUMBER(SEARCH("متوسط",I50)),ISNUMBER(SEARCH("ليكرت",G50)),ISNUMBER(SEARCH("نوعي",E50))),"",K50+L50),"")</f>
        <v/>
      </c>
      <c r="N50" s="43"/>
      <c r="O50" s="43"/>
      <c r="P50" s="43"/>
      <c r="Q50" s="43"/>
      <c r="R50" s="43"/>
      <c r="S50" s="43"/>
      <c r="T50" s="43"/>
      <c r="U50" s="43"/>
      <c r="V50" s="44" t="str">
        <f aca="false">IFERROR(IF(COUNT(O50,Q50,S50,U50)=0,"",IF(ISNUMBER(SEARCH("تراكمي",I50)),IF(ISNUMBER(U50),U50,IF(ISNUMBER(S50),S50,IF(ISNUMBER(Q50),Q50,O50))),IF(ISNUMBER(SEARCH("متوسط",I50)),AVERAGE(O50,Q50,S50,U50),IF(AND(ISNUMBER(SEARCH("سنوي",I50)),ISERROR(SEARCH("نصف",I50))),IF(ISNUMBER(U50),U50,""),SUM(O50,Q50,S50,U50))))),"-")</f>
        <v/>
      </c>
      <c r="W50" s="45" t="str">
        <f aca="false">IF(OR(NOT(ISNUMBER(L50)),NOT(ISNUMBER(V50))),"",IFERROR(IF(ISNUMBER(SEARCH("تنازلي",H50)),  IF(V50=0,100,(L50/V50)*100),  (V50/L50)*100),"-"))</f>
        <v/>
      </c>
      <c r="X50" s="45" t="str">
        <f aca="false">IF(AND(ISNUMBER(W50),ISNUMBER(J50)),MIN(W50,100)/100*J50,"")</f>
        <v/>
      </c>
    </row>
    <row r="51" customFormat="false" ht="25.5" hidden="false" customHeight="true" outlineLevel="0" collapsed="false">
      <c r="A51" s="37" t="str">
        <f aca="false">IF(B51="","",COUNTA(B$39:B51)-1)</f>
        <v/>
      </c>
      <c r="B51" s="38"/>
      <c r="C51" s="39"/>
      <c r="D51" s="40" t="str">
        <f aca="false">IFERROR(VLOOKUP($F$3,Data!$A:$B,2,0)&amp;"-P"&amp;TEXT(ROW()-ROW($D$39),"0"),"-P"&amp;TEXT(ROW()-ROW($D$39),"0"))</f>
        <v>ZF-P12</v>
      </c>
      <c r="E51" s="41"/>
      <c r="F51" s="41"/>
      <c r="G51" s="41"/>
      <c r="H51" s="41"/>
      <c r="I51" s="41"/>
      <c r="J51" s="42"/>
      <c r="K51" s="43"/>
      <c r="L51" s="43"/>
      <c r="M51" s="44" t="str">
        <f aca="false">IFERROR(IF(OR(K51="",L51="",ISNUMBER(SEARCH("متوسط",I51)),ISNUMBER(SEARCH("ليكرت",G51)),ISNUMBER(SEARCH("نوعي",E51))),"",K51+L51),"")</f>
        <v/>
      </c>
      <c r="N51" s="43"/>
      <c r="O51" s="43"/>
      <c r="P51" s="43"/>
      <c r="Q51" s="43"/>
      <c r="R51" s="43"/>
      <c r="S51" s="43"/>
      <c r="T51" s="43"/>
      <c r="U51" s="43"/>
      <c r="V51" s="44" t="str">
        <f aca="false">IFERROR(IF(COUNT(O51,Q51,S51,U51)=0,"",IF(ISNUMBER(SEARCH("تراكمي",I51)),IF(ISNUMBER(U51),U51,IF(ISNUMBER(S51),S51,IF(ISNUMBER(Q51),Q51,O51))),IF(ISNUMBER(SEARCH("متوسط",I51)),AVERAGE(O51,Q51,S51,U51),IF(AND(ISNUMBER(SEARCH("سنوي",I51)),ISERROR(SEARCH("نصف",I51))),IF(ISNUMBER(U51),U51,""),SUM(O51,Q51,S51,U51))))),"-")</f>
        <v/>
      </c>
      <c r="W51" s="45" t="str">
        <f aca="false">IF(OR(NOT(ISNUMBER(L51)),NOT(ISNUMBER(V51))),"",IFERROR(IF(ISNUMBER(SEARCH("تنازلي",H51)),  IF(V51=0,100,(L51/V51)*100),  (V51/L51)*100),"-"))</f>
        <v/>
      </c>
      <c r="X51" s="45" t="str">
        <f aca="false">IF(AND(ISNUMBER(W51),ISNUMBER(J51)),MIN(W51,100)/100*J51,"")</f>
        <v/>
      </c>
    </row>
    <row r="52" customFormat="false" ht="25.5" hidden="false" customHeight="true" outlineLevel="0" collapsed="false">
      <c r="A52" s="37" t="str">
        <f aca="false">IF(B52="","",COUNTA(B$39:B52)-1)</f>
        <v/>
      </c>
      <c r="B52" s="38"/>
      <c r="C52" s="39"/>
      <c r="D52" s="40" t="str">
        <f aca="false">IFERROR(VLOOKUP($F$3,Data!$A:$B,2,0)&amp;"-P"&amp;TEXT(ROW()-ROW($D$39),"0"),"-P"&amp;TEXT(ROW()-ROW($D$39),"0"))</f>
        <v>ZF-P13</v>
      </c>
      <c r="E52" s="41"/>
      <c r="F52" s="41"/>
      <c r="G52" s="41"/>
      <c r="H52" s="41"/>
      <c r="I52" s="41"/>
      <c r="J52" s="42"/>
      <c r="K52" s="43"/>
      <c r="L52" s="43"/>
      <c r="M52" s="44" t="str">
        <f aca="false">IFERROR(IF(OR(K52="",L52="",ISNUMBER(SEARCH("متوسط",I52)),ISNUMBER(SEARCH("ليكرت",G52)),ISNUMBER(SEARCH("نوعي",E52))),"",K52+L52),"")</f>
        <v/>
      </c>
      <c r="N52" s="43"/>
      <c r="O52" s="43"/>
      <c r="P52" s="43"/>
      <c r="Q52" s="43"/>
      <c r="R52" s="43"/>
      <c r="S52" s="43"/>
      <c r="T52" s="43"/>
      <c r="U52" s="43"/>
      <c r="V52" s="44" t="str">
        <f aca="false">IFERROR(IF(COUNT(O52,Q52,S52,U52)=0,"",IF(ISNUMBER(SEARCH("تراكمي",I52)),IF(ISNUMBER(U52),U52,IF(ISNUMBER(S52),S52,IF(ISNUMBER(Q52),Q52,O52))),IF(ISNUMBER(SEARCH("متوسط",I52)),AVERAGE(O52,Q52,S52,U52),IF(AND(ISNUMBER(SEARCH("سنوي",I52)),ISERROR(SEARCH("نصف",I52))),IF(ISNUMBER(U52),U52,""),SUM(O52,Q52,S52,U52))))),"-")</f>
        <v/>
      </c>
      <c r="W52" s="45" t="str">
        <f aca="false">IF(OR(NOT(ISNUMBER(L52)),NOT(ISNUMBER(V52))),"",IFERROR(IF(ISNUMBER(SEARCH("تنازلي",H52)),  IF(V52=0,100,(L52/V52)*100),  (V52/L52)*100),"-"))</f>
        <v/>
      </c>
      <c r="X52" s="45" t="str">
        <f aca="false">IF(AND(ISNUMBER(W52),ISNUMBER(J52)),MIN(W52,100)/100*J52,"")</f>
        <v/>
      </c>
    </row>
    <row r="53" customFormat="false" ht="25.5" hidden="false" customHeight="true" outlineLevel="0" collapsed="false">
      <c r="A53" s="37" t="str">
        <f aca="false">IF(B53="","",COUNTA(B$39:B53)-1)</f>
        <v/>
      </c>
      <c r="B53" s="38"/>
      <c r="C53" s="39"/>
      <c r="D53" s="40" t="str">
        <f aca="false">IFERROR(VLOOKUP($F$3,Data!$A:$B,2,0)&amp;"-P"&amp;TEXT(ROW()-ROW($D$39),"0"),"-P"&amp;TEXT(ROW()-ROW($D$39),"0"))</f>
        <v>ZF-P14</v>
      </c>
      <c r="E53" s="41"/>
      <c r="F53" s="41"/>
      <c r="G53" s="41"/>
      <c r="H53" s="41"/>
      <c r="I53" s="41"/>
      <c r="J53" s="42"/>
      <c r="K53" s="43"/>
      <c r="L53" s="43"/>
      <c r="M53" s="44" t="str">
        <f aca="false">IFERROR(IF(OR(K53="",L53="",ISNUMBER(SEARCH("متوسط",I53)),ISNUMBER(SEARCH("ليكرت",G53)),ISNUMBER(SEARCH("نوعي",E53))),"",K53+L53),"")</f>
        <v/>
      </c>
      <c r="N53" s="43"/>
      <c r="O53" s="43"/>
      <c r="P53" s="43"/>
      <c r="Q53" s="43"/>
      <c r="R53" s="43"/>
      <c r="S53" s="43"/>
      <c r="T53" s="43"/>
      <c r="U53" s="43"/>
      <c r="V53" s="44" t="str">
        <f aca="false">IFERROR(IF(COUNT(O53,Q53,S53,U53)=0,"",IF(ISNUMBER(SEARCH("تراكمي",I53)),IF(ISNUMBER(U53),U53,IF(ISNUMBER(S53),S53,IF(ISNUMBER(Q53),Q53,O53))),IF(ISNUMBER(SEARCH("متوسط",I53)),AVERAGE(O53,Q53,S53,U53),IF(AND(ISNUMBER(SEARCH("سنوي",I53)),ISERROR(SEARCH("نصف",I53))),IF(ISNUMBER(U53),U53,""),SUM(O53,Q53,S53,U53))))),"-")</f>
        <v/>
      </c>
      <c r="W53" s="45" t="str">
        <f aca="false">IF(OR(NOT(ISNUMBER(L53)),NOT(ISNUMBER(V53))),"",IFERROR(IF(ISNUMBER(SEARCH("تنازلي",H53)),  IF(V53=0,100,(L53/V53)*100),  (V53/L53)*100),"-"))</f>
        <v/>
      </c>
      <c r="X53" s="45" t="str">
        <f aca="false">IF(AND(ISNUMBER(W53),ISNUMBER(J53)),MIN(W53,100)/100*J53,"")</f>
        <v/>
      </c>
    </row>
    <row r="54" customFormat="false" ht="25.5" hidden="false" customHeight="true" outlineLevel="0" collapsed="false">
      <c r="A54" s="37" t="str">
        <f aca="false">IF(B54="","",COUNTA(B$39:B54)-1)</f>
        <v/>
      </c>
      <c r="B54" s="38"/>
      <c r="C54" s="39"/>
      <c r="D54" s="40" t="str">
        <f aca="false">IFERROR(VLOOKUP($F$3,Data!$A:$B,2,0)&amp;"-P"&amp;TEXT(ROW()-ROW($D$39),"0"),"-P"&amp;TEXT(ROW()-ROW($D$39),"0"))</f>
        <v>ZF-P15</v>
      </c>
      <c r="E54" s="41"/>
      <c r="F54" s="41"/>
      <c r="G54" s="41"/>
      <c r="H54" s="41"/>
      <c r="I54" s="41"/>
      <c r="J54" s="42"/>
      <c r="K54" s="43"/>
      <c r="L54" s="43"/>
      <c r="M54" s="44" t="str">
        <f aca="false">IFERROR(IF(OR(K54="",L54="",ISNUMBER(SEARCH("متوسط",I54)),ISNUMBER(SEARCH("ليكرت",G54)),ISNUMBER(SEARCH("نوعي",E54))),"",K54+L54),"")</f>
        <v/>
      </c>
      <c r="N54" s="43"/>
      <c r="O54" s="43"/>
      <c r="P54" s="43"/>
      <c r="Q54" s="43"/>
      <c r="R54" s="43"/>
      <c r="S54" s="43"/>
      <c r="T54" s="43"/>
      <c r="U54" s="43"/>
      <c r="V54" s="44" t="str">
        <f aca="false">IFERROR(IF(COUNT(O54,Q54,S54,U54)=0,"",IF(ISNUMBER(SEARCH("تراكمي",I54)),IF(ISNUMBER(U54),U54,IF(ISNUMBER(S54),S54,IF(ISNUMBER(Q54),Q54,O54))),IF(ISNUMBER(SEARCH("متوسط",I54)),AVERAGE(O54,Q54,S54,U54),IF(AND(ISNUMBER(SEARCH("سنوي",I54)),ISERROR(SEARCH("نصف",I54))),IF(ISNUMBER(U54),U54,""),SUM(O54,Q54,S54,U54))))),"-")</f>
        <v/>
      </c>
      <c r="W54" s="45" t="str">
        <f aca="false">IF(OR(NOT(ISNUMBER(L54)),NOT(ISNUMBER(V54))),"",IFERROR(IF(ISNUMBER(SEARCH("تنازلي",H54)),  IF(V54=0,100,(L54/V54)*100),  (V54/L54)*100),"-"))</f>
        <v/>
      </c>
      <c r="X54" s="45" t="str">
        <f aca="false">IF(AND(ISNUMBER(W54),ISNUMBER(J54)),MIN(W54,100)/100*J54,"")</f>
        <v/>
      </c>
    </row>
    <row r="55" customFormat="false" ht="25.5" hidden="false" customHeight="true" outlineLevel="0" collapsed="false">
      <c r="A55" s="37" t="str">
        <f aca="false">IF(B55="","",COUNTA(B$39:B55)-1)</f>
        <v/>
      </c>
      <c r="B55" s="38"/>
      <c r="C55" s="39"/>
      <c r="D55" s="40" t="str">
        <f aca="false">IFERROR(VLOOKUP($F$3,Data!$A:$B,2,0)&amp;"-P"&amp;TEXT(ROW()-ROW($D$39),"0"),"-P"&amp;TEXT(ROW()-ROW($D$39),"0"))</f>
        <v>ZF-P16</v>
      </c>
      <c r="E55" s="41"/>
      <c r="F55" s="41"/>
      <c r="G55" s="41"/>
      <c r="H55" s="41"/>
      <c r="I55" s="41"/>
      <c r="J55" s="42"/>
      <c r="K55" s="43"/>
      <c r="L55" s="43"/>
      <c r="M55" s="44" t="str">
        <f aca="false">IFERROR(IF(OR(K55="",L55="",ISNUMBER(SEARCH("متوسط",I55)),ISNUMBER(SEARCH("ليكرت",G55)),ISNUMBER(SEARCH("نوعي",E55))),"",K55+L55),"")</f>
        <v/>
      </c>
      <c r="N55" s="43"/>
      <c r="O55" s="43"/>
      <c r="P55" s="43"/>
      <c r="Q55" s="43"/>
      <c r="R55" s="43"/>
      <c r="S55" s="43"/>
      <c r="T55" s="43"/>
      <c r="U55" s="43"/>
      <c r="V55" s="44" t="str">
        <f aca="false">IFERROR(IF(COUNT(O55,Q55,S55,U55)=0,"",IF(ISNUMBER(SEARCH("تراكمي",I55)),IF(ISNUMBER(U55),U55,IF(ISNUMBER(S55),S55,IF(ISNUMBER(Q55),Q55,O55))),IF(ISNUMBER(SEARCH("متوسط",I55)),AVERAGE(O55,Q55,S55,U55),IF(AND(ISNUMBER(SEARCH("سنوي",I55)),ISERROR(SEARCH("نصف",I55))),IF(ISNUMBER(U55),U55,""),SUM(O55,Q55,S55,U55))))),"-")</f>
        <v/>
      </c>
      <c r="W55" s="45" t="str">
        <f aca="false">IF(OR(NOT(ISNUMBER(L55)),NOT(ISNUMBER(V55))),"",IFERROR(IF(ISNUMBER(SEARCH("تنازلي",H55)),  IF(V55=0,100,(L55/V55)*100),  (V55/L55)*100),"-"))</f>
        <v/>
      </c>
      <c r="X55" s="45" t="str">
        <f aca="false">IF(AND(ISNUMBER(W55),ISNUMBER(J55)),MIN(W55,100)/100*J55,"")</f>
        <v/>
      </c>
    </row>
    <row r="56" customFormat="false" ht="25.5" hidden="false" customHeight="true" outlineLevel="0" collapsed="false">
      <c r="A56" s="37" t="str">
        <f aca="false">IF(B56="","",COUNTA(B$39:B56)-1)</f>
        <v/>
      </c>
      <c r="B56" s="38"/>
      <c r="C56" s="39"/>
      <c r="D56" s="40" t="str">
        <f aca="false">IFERROR(VLOOKUP($F$3,Data!$A:$B,2,0)&amp;"-P"&amp;TEXT(ROW()-ROW($D$39),"0"),"-P"&amp;TEXT(ROW()-ROW($D$39),"0"))</f>
        <v>ZF-P17</v>
      </c>
      <c r="E56" s="41"/>
      <c r="F56" s="41"/>
      <c r="G56" s="41"/>
      <c r="H56" s="41"/>
      <c r="I56" s="41"/>
      <c r="J56" s="42"/>
      <c r="K56" s="43"/>
      <c r="L56" s="43"/>
      <c r="M56" s="44" t="str">
        <f aca="false">IFERROR(IF(OR(K56="",L56="",ISNUMBER(SEARCH("متوسط",I56)),ISNUMBER(SEARCH("ليكرت",G56)),ISNUMBER(SEARCH("نوعي",E56))),"",K56+L56),"")</f>
        <v/>
      </c>
      <c r="N56" s="43"/>
      <c r="O56" s="43"/>
      <c r="P56" s="43"/>
      <c r="Q56" s="43"/>
      <c r="R56" s="43"/>
      <c r="S56" s="43"/>
      <c r="T56" s="43"/>
      <c r="U56" s="43"/>
      <c r="V56" s="44" t="str">
        <f aca="false">IFERROR(IF(COUNT(O56,Q56,S56,U56)=0,"",IF(ISNUMBER(SEARCH("تراكمي",I56)),IF(ISNUMBER(U56),U56,IF(ISNUMBER(S56),S56,IF(ISNUMBER(Q56),Q56,O56))),IF(ISNUMBER(SEARCH("متوسط",I56)),AVERAGE(O56,Q56,S56,U56),IF(AND(ISNUMBER(SEARCH("سنوي",I56)),ISERROR(SEARCH("نصف",I56))),IF(ISNUMBER(U56),U56,""),SUM(O56,Q56,S56,U56))))),"-")</f>
        <v/>
      </c>
      <c r="W56" s="45" t="str">
        <f aca="false">IF(OR(NOT(ISNUMBER(L56)),NOT(ISNUMBER(V56))),"",IFERROR(IF(ISNUMBER(SEARCH("تنازلي",H56)),  IF(V56=0,100,(L56/V56)*100),  (V56/L56)*100),"-"))</f>
        <v/>
      </c>
      <c r="X56" s="45" t="str">
        <f aca="false">IF(AND(ISNUMBER(W56),ISNUMBER(J56)),MIN(W56,100)/100*J56,"")</f>
        <v/>
      </c>
    </row>
    <row r="57" customFormat="false" ht="25.5" hidden="false" customHeight="true" outlineLevel="0" collapsed="false">
      <c r="A57" s="37" t="str">
        <f aca="false">IF(B57="","",COUNTA(B$39:B57)-1)</f>
        <v/>
      </c>
      <c r="B57" s="38"/>
      <c r="C57" s="39"/>
      <c r="D57" s="40" t="str">
        <f aca="false">IFERROR(VLOOKUP($F$3,Data!$A:$B,2,0)&amp;"-P"&amp;TEXT(ROW()-ROW($D$39),"0"),"-P"&amp;TEXT(ROW()-ROW($D$39),"0"))</f>
        <v>ZF-P18</v>
      </c>
      <c r="E57" s="41"/>
      <c r="F57" s="41"/>
      <c r="G57" s="41"/>
      <c r="H57" s="41"/>
      <c r="I57" s="41"/>
      <c r="J57" s="42"/>
      <c r="K57" s="43"/>
      <c r="L57" s="43"/>
      <c r="M57" s="44" t="str">
        <f aca="false">IFERROR(IF(OR(K57="",L57="",ISNUMBER(SEARCH("متوسط",I57)),ISNUMBER(SEARCH("ليكرت",G57)),ISNUMBER(SEARCH("نوعي",E57))),"",K57+L57),"")</f>
        <v/>
      </c>
      <c r="N57" s="43"/>
      <c r="O57" s="43"/>
      <c r="P57" s="43"/>
      <c r="Q57" s="43"/>
      <c r="R57" s="43"/>
      <c r="S57" s="43"/>
      <c r="T57" s="43"/>
      <c r="U57" s="43"/>
      <c r="V57" s="44" t="str">
        <f aca="false">IFERROR(IF(COUNT(O57,Q57,S57,U57)=0,"",IF(ISNUMBER(SEARCH("تراكمي",I57)),IF(ISNUMBER(U57),U57,IF(ISNUMBER(S57),S57,IF(ISNUMBER(Q57),Q57,O57))),IF(ISNUMBER(SEARCH("متوسط",I57)),AVERAGE(O57,Q57,S57,U57),IF(AND(ISNUMBER(SEARCH("سنوي",I57)),ISERROR(SEARCH("نصف",I57))),IF(ISNUMBER(U57),U57,""),SUM(O57,Q57,S57,U57))))),"-")</f>
        <v/>
      </c>
      <c r="W57" s="45" t="str">
        <f aca="false">IF(OR(NOT(ISNUMBER(L57)),NOT(ISNUMBER(V57))),"",IFERROR(IF(ISNUMBER(SEARCH("تنازلي",H57)),  IF(V57=0,100,(L57/V57)*100),  (V57/L57)*100),"-"))</f>
        <v/>
      </c>
      <c r="X57" s="45" t="str">
        <f aca="false">IF(AND(ISNUMBER(W57),ISNUMBER(J57)),MIN(W57,100)/100*J57,"")</f>
        <v/>
      </c>
    </row>
    <row r="58" customFormat="false" ht="25.5" hidden="false" customHeight="true" outlineLevel="0" collapsed="false">
      <c r="A58" s="37" t="str">
        <f aca="false">IF(B58="","",COUNTA(B$39:B58)-1)</f>
        <v/>
      </c>
      <c r="B58" s="38"/>
      <c r="C58" s="39"/>
      <c r="D58" s="40" t="str">
        <f aca="false">IFERROR(VLOOKUP($F$3,Data!$A:$B,2,0)&amp;"-P"&amp;TEXT(ROW()-ROW($D$39),"0"),"-P"&amp;TEXT(ROW()-ROW($D$39),"0"))</f>
        <v>ZF-P19</v>
      </c>
      <c r="E58" s="41"/>
      <c r="F58" s="41"/>
      <c r="G58" s="41"/>
      <c r="H58" s="41"/>
      <c r="I58" s="41"/>
      <c r="J58" s="42"/>
      <c r="K58" s="43"/>
      <c r="L58" s="43"/>
      <c r="M58" s="44" t="str">
        <f aca="false">IFERROR(IF(OR(K58="",L58="",ISNUMBER(SEARCH("متوسط",I58)),ISNUMBER(SEARCH("ليكرت",G58)),ISNUMBER(SEARCH("نوعي",E58))),"",K58+L58),"")</f>
        <v/>
      </c>
      <c r="N58" s="43"/>
      <c r="O58" s="43"/>
      <c r="P58" s="43"/>
      <c r="Q58" s="43"/>
      <c r="R58" s="43"/>
      <c r="S58" s="43"/>
      <c r="T58" s="43"/>
      <c r="U58" s="43"/>
      <c r="V58" s="44" t="str">
        <f aca="false">IFERROR(IF(COUNT(O58,Q58,S58,U58)=0,"",IF(ISNUMBER(SEARCH("تراكمي",I58)),IF(ISNUMBER(U58),U58,IF(ISNUMBER(S58),S58,IF(ISNUMBER(Q58),Q58,O58))),IF(ISNUMBER(SEARCH("متوسط",I58)),AVERAGE(O58,Q58,S58,U58),IF(AND(ISNUMBER(SEARCH("سنوي",I58)),ISERROR(SEARCH("نصف",I58))),IF(ISNUMBER(U58),U58,""),SUM(O58,Q58,S58,U58))))),"-")</f>
        <v/>
      </c>
      <c r="W58" s="45" t="str">
        <f aca="false">IF(OR(NOT(ISNUMBER(L58)),NOT(ISNUMBER(V58))),"",IFERROR(IF(ISNUMBER(SEARCH("تنازلي",H58)),  IF(V58=0,100,(L58/V58)*100),  (V58/L58)*100),"-"))</f>
        <v/>
      </c>
      <c r="X58" s="45" t="str">
        <f aca="false">IF(AND(ISNUMBER(W58),ISNUMBER(J58)),MIN(W58,100)/100*J58,"")</f>
        <v/>
      </c>
    </row>
    <row r="59" customFormat="false" ht="25.5" hidden="false" customHeight="true" outlineLevel="0" collapsed="false">
      <c r="A59" s="37" t="str">
        <f aca="false">IF(B59="","",COUNTA(B$39:B59)-1)</f>
        <v/>
      </c>
      <c r="B59" s="38"/>
      <c r="C59" s="39"/>
      <c r="D59" s="40" t="str">
        <f aca="false">IFERROR(VLOOKUP($F$3,Data!$A:$B,2,0)&amp;"-P"&amp;TEXT(ROW()-ROW($D$39),"0"),"-P"&amp;TEXT(ROW()-ROW($D$39),"0"))</f>
        <v>ZF-P20</v>
      </c>
      <c r="E59" s="41"/>
      <c r="F59" s="41"/>
      <c r="G59" s="41"/>
      <c r="H59" s="41"/>
      <c r="I59" s="41"/>
      <c r="J59" s="42"/>
      <c r="K59" s="43"/>
      <c r="L59" s="43"/>
      <c r="M59" s="44" t="str">
        <f aca="false">IFERROR(IF(OR(K59="",L59="",ISNUMBER(SEARCH("متوسط",I59)),ISNUMBER(SEARCH("ليكرت",G59)),ISNUMBER(SEARCH("نوعي",E59))),"",K59+L59),"")</f>
        <v/>
      </c>
      <c r="N59" s="43"/>
      <c r="O59" s="43"/>
      <c r="P59" s="43"/>
      <c r="Q59" s="43"/>
      <c r="R59" s="43"/>
      <c r="S59" s="43"/>
      <c r="T59" s="43"/>
      <c r="U59" s="43"/>
      <c r="V59" s="44" t="str">
        <f aca="false">IFERROR(IF(COUNT(O59,Q59,S59,U59)=0,"",IF(ISNUMBER(SEARCH("تراكمي",I59)),IF(ISNUMBER(U59),U59,IF(ISNUMBER(S59),S59,IF(ISNUMBER(Q59),Q59,O59))),IF(ISNUMBER(SEARCH("متوسط",I59)),AVERAGE(O59,Q59,S59,U59),IF(AND(ISNUMBER(SEARCH("سنوي",I59)),ISERROR(SEARCH("نصف",I59))),IF(ISNUMBER(U59),U59,""),SUM(O59,Q59,S59,U59))))),"-")</f>
        <v/>
      </c>
      <c r="W59" s="45" t="str">
        <f aca="false">IF(OR(NOT(ISNUMBER(L59)),NOT(ISNUMBER(V59))),"",IFERROR(IF(ISNUMBER(SEARCH("تنازلي",H59)),  IF(V59=0,100,(L59/V59)*100),  (V59/L59)*100),"-"))</f>
        <v/>
      </c>
      <c r="X59" s="45" t="str">
        <f aca="false">IF(AND(ISNUMBER(W59),ISNUMBER(J59)),MIN(W59,100)/100*J59,"")</f>
        <v/>
      </c>
    </row>
    <row r="60" customFormat="false" ht="25.5" hidden="false" customHeight="true" outlineLevel="0" collapsed="false">
      <c r="A60" s="37" t="str">
        <f aca="false">IF(B60="","",COUNTA(B$39:B60)-1)</f>
        <v/>
      </c>
      <c r="B60" s="38"/>
      <c r="C60" s="39"/>
      <c r="D60" s="40" t="str">
        <f aca="false">IFERROR(VLOOKUP($F$3,Data!$A:$B,2,0)&amp;"-P"&amp;TEXT(ROW()-ROW($D$39),"0"),"-P"&amp;TEXT(ROW()-ROW($D$39),"0"))</f>
        <v>ZF-P21</v>
      </c>
      <c r="E60" s="41"/>
      <c r="F60" s="41"/>
      <c r="G60" s="41"/>
      <c r="H60" s="41"/>
      <c r="I60" s="41"/>
      <c r="J60" s="42"/>
      <c r="K60" s="43"/>
      <c r="L60" s="43"/>
      <c r="M60" s="44" t="str">
        <f aca="false">IFERROR(IF(OR(K60="",L60="",ISNUMBER(SEARCH("متوسط",I60)),ISNUMBER(SEARCH("ليكرت",G60)),ISNUMBER(SEARCH("نوعي",E60))),"",K60+L60),"")</f>
        <v/>
      </c>
      <c r="N60" s="43"/>
      <c r="O60" s="43"/>
      <c r="P60" s="43"/>
      <c r="Q60" s="43"/>
      <c r="R60" s="43"/>
      <c r="S60" s="43"/>
      <c r="T60" s="43"/>
      <c r="U60" s="43"/>
      <c r="V60" s="44" t="str">
        <f aca="false">IFERROR(IF(COUNT(O60,Q60,S60,U60)=0,"",IF(ISNUMBER(SEARCH("تراكمي",I60)),IF(ISNUMBER(U60),U60,IF(ISNUMBER(S60),S60,IF(ISNUMBER(Q60),Q60,O60))),IF(ISNUMBER(SEARCH("متوسط",I60)),AVERAGE(O60,Q60,S60,U60),IF(AND(ISNUMBER(SEARCH("سنوي",I60)),ISERROR(SEARCH("نصف",I60))),IF(ISNUMBER(U60),U60,""),SUM(O60,Q60,S60,U60))))),"-")</f>
        <v/>
      </c>
      <c r="W60" s="45" t="str">
        <f aca="false">IF(OR(NOT(ISNUMBER(L60)),NOT(ISNUMBER(V60))),"",IFERROR(IF(ISNUMBER(SEARCH("تنازلي",H60)),  IF(V60=0,100,(L60/V60)*100),  (V60/L60)*100),"-"))</f>
        <v/>
      </c>
      <c r="X60" s="45" t="str">
        <f aca="false">IF(AND(ISNUMBER(W60),ISNUMBER(J60)),MIN(W60,100)/100*J60,"")</f>
        <v/>
      </c>
    </row>
    <row r="61" customFormat="false" ht="25.5" hidden="false" customHeight="true" outlineLevel="0" collapsed="false">
      <c r="A61" s="37" t="str">
        <f aca="false">IF(B61="","",COUNTA(B$39:B61)-1)</f>
        <v/>
      </c>
      <c r="B61" s="38"/>
      <c r="C61" s="39"/>
      <c r="D61" s="40" t="str">
        <f aca="false">IFERROR(VLOOKUP($F$3,Data!$A:$B,2,0)&amp;"-P"&amp;TEXT(ROW()-ROW($D$39),"0"),"-P"&amp;TEXT(ROW()-ROW($D$39),"0"))</f>
        <v>ZF-P22</v>
      </c>
      <c r="E61" s="41"/>
      <c r="F61" s="41"/>
      <c r="G61" s="41"/>
      <c r="H61" s="41"/>
      <c r="I61" s="41"/>
      <c r="J61" s="42"/>
      <c r="K61" s="43"/>
      <c r="L61" s="43"/>
      <c r="M61" s="44" t="str">
        <f aca="false">IFERROR(IF(OR(K61="",L61="",ISNUMBER(SEARCH("متوسط",I61)),ISNUMBER(SEARCH("ليكرت",G61)),ISNUMBER(SEARCH("نوعي",E61))),"",K61+L61),"")</f>
        <v/>
      </c>
      <c r="N61" s="43"/>
      <c r="O61" s="43"/>
      <c r="P61" s="43"/>
      <c r="Q61" s="43"/>
      <c r="R61" s="43"/>
      <c r="S61" s="43"/>
      <c r="T61" s="43"/>
      <c r="U61" s="43"/>
      <c r="V61" s="44" t="str">
        <f aca="false">IFERROR(IF(COUNT(O61,Q61,S61,U61)=0,"",IF(ISNUMBER(SEARCH("تراكمي",I61)),IF(ISNUMBER(U61),U61,IF(ISNUMBER(S61),S61,IF(ISNUMBER(Q61),Q61,O61))),IF(ISNUMBER(SEARCH("متوسط",I61)),AVERAGE(O61,Q61,S61,U61),IF(AND(ISNUMBER(SEARCH("سنوي",I61)),ISERROR(SEARCH("نصف",I61))),IF(ISNUMBER(U61),U61,""),SUM(O61,Q61,S61,U61))))),"-")</f>
        <v/>
      </c>
      <c r="W61" s="45" t="str">
        <f aca="false">IF(OR(NOT(ISNUMBER(L61)),NOT(ISNUMBER(V61))),"",IFERROR(IF(ISNUMBER(SEARCH("تنازلي",H61)),  IF(V61=0,100,(L61/V61)*100),  (V61/L61)*100),"-"))</f>
        <v/>
      </c>
      <c r="X61" s="45" t="str">
        <f aca="false">IF(AND(ISNUMBER(W61),ISNUMBER(J61)),MIN(W61,100)/100*J61,"")</f>
        <v/>
      </c>
    </row>
    <row r="62" customFormat="false" ht="25.5" hidden="false" customHeight="true" outlineLevel="0" collapsed="false">
      <c r="A62" s="37" t="str">
        <f aca="false">IF(B62="","",COUNTA(B$39:B62)-1)</f>
        <v/>
      </c>
      <c r="B62" s="38"/>
      <c r="C62" s="39"/>
      <c r="D62" s="40" t="str">
        <f aca="false">IFERROR(VLOOKUP($F$3,Data!$A:$B,2,0)&amp;"-P"&amp;TEXT(ROW()-ROW($D$39),"0"),"-P"&amp;TEXT(ROW()-ROW($D$39),"0"))</f>
        <v>ZF-P23</v>
      </c>
      <c r="E62" s="41"/>
      <c r="F62" s="41"/>
      <c r="G62" s="41"/>
      <c r="H62" s="41"/>
      <c r="I62" s="41"/>
      <c r="J62" s="42"/>
      <c r="K62" s="43"/>
      <c r="L62" s="43"/>
      <c r="M62" s="44" t="str">
        <f aca="false">IFERROR(IF(OR(K62="",L62="",ISNUMBER(SEARCH("متوسط",I62)),ISNUMBER(SEARCH("ليكرت",G62)),ISNUMBER(SEARCH("نوعي",E62))),"",K62+L62),"")</f>
        <v/>
      </c>
      <c r="N62" s="43"/>
      <c r="O62" s="43"/>
      <c r="P62" s="43"/>
      <c r="Q62" s="43"/>
      <c r="R62" s="43"/>
      <c r="S62" s="43"/>
      <c r="T62" s="43"/>
      <c r="U62" s="43"/>
      <c r="V62" s="44" t="str">
        <f aca="false">IFERROR(IF(COUNT(O62,Q62,S62,U62)=0,"",IF(ISNUMBER(SEARCH("تراكمي",I62)),IF(ISNUMBER(U62),U62,IF(ISNUMBER(S62),S62,IF(ISNUMBER(Q62),Q62,O62))),IF(ISNUMBER(SEARCH("متوسط",I62)),AVERAGE(O62,Q62,S62,U62),IF(AND(ISNUMBER(SEARCH("سنوي",I62)),ISERROR(SEARCH("نصف",I62))),IF(ISNUMBER(U62),U62,""),SUM(O62,Q62,S62,U62))))),"-")</f>
        <v/>
      </c>
      <c r="W62" s="45" t="str">
        <f aca="false">IF(OR(NOT(ISNUMBER(L62)),NOT(ISNUMBER(V62))),"",IFERROR(IF(ISNUMBER(SEARCH("تنازلي",H62)),  IF(V62=0,100,(L62/V62)*100),  (V62/L62)*100),"-"))</f>
        <v/>
      </c>
      <c r="X62" s="45" t="str">
        <f aca="false">IF(AND(ISNUMBER(W62),ISNUMBER(J62)),MIN(W62,100)/100*J62,"")</f>
        <v/>
      </c>
    </row>
    <row r="63" customFormat="false" ht="25.5" hidden="false" customHeight="true" outlineLevel="0" collapsed="false">
      <c r="A63" s="37" t="str">
        <f aca="false">IF(B63="","",COUNTA(B$39:B63)-1)</f>
        <v/>
      </c>
      <c r="B63" s="38"/>
      <c r="C63" s="39"/>
      <c r="D63" s="40" t="str">
        <f aca="false">IFERROR(VLOOKUP($F$3,Data!$A:$B,2,0)&amp;"-P"&amp;TEXT(ROW()-ROW($D$39),"0"),"-P"&amp;TEXT(ROW()-ROW($D$39),"0"))</f>
        <v>ZF-P24</v>
      </c>
      <c r="E63" s="41"/>
      <c r="F63" s="41"/>
      <c r="G63" s="41"/>
      <c r="H63" s="41"/>
      <c r="I63" s="41"/>
      <c r="J63" s="42"/>
      <c r="K63" s="43"/>
      <c r="L63" s="43"/>
      <c r="M63" s="44" t="str">
        <f aca="false">IFERROR(IF(OR(K63="",L63="",ISNUMBER(SEARCH("متوسط",I63)),ISNUMBER(SEARCH("ليكرت",G63)),ISNUMBER(SEARCH("نوعي",E63))),"",K63+L63),"")</f>
        <v/>
      </c>
      <c r="N63" s="43"/>
      <c r="O63" s="43"/>
      <c r="P63" s="43"/>
      <c r="Q63" s="43"/>
      <c r="R63" s="43"/>
      <c r="S63" s="43"/>
      <c r="T63" s="43"/>
      <c r="U63" s="43"/>
      <c r="V63" s="44" t="str">
        <f aca="false">IFERROR(IF(COUNT(O63,Q63,S63,U63)=0,"",IF(ISNUMBER(SEARCH("تراكمي",I63)),IF(ISNUMBER(U63),U63,IF(ISNUMBER(S63),S63,IF(ISNUMBER(Q63),Q63,O63))),IF(ISNUMBER(SEARCH("متوسط",I63)),AVERAGE(O63,Q63,S63,U63),IF(AND(ISNUMBER(SEARCH("سنوي",I63)),ISERROR(SEARCH("نصف",I63))),IF(ISNUMBER(U63),U63,""),SUM(O63,Q63,S63,U63))))),"-")</f>
        <v/>
      </c>
      <c r="W63" s="45" t="str">
        <f aca="false">IF(OR(NOT(ISNUMBER(L63)),NOT(ISNUMBER(V63))),"",IFERROR(IF(ISNUMBER(SEARCH("تنازلي",H63)),  IF(V63=0,100,(L63/V63)*100),  (V63/L63)*100),"-"))</f>
        <v/>
      </c>
      <c r="X63" s="45" t="str">
        <f aca="false">IF(AND(ISNUMBER(W63),ISNUMBER(J63)),MIN(W63,100)/100*J63,"")</f>
        <v/>
      </c>
    </row>
    <row r="64" customFormat="false" ht="25.5" hidden="false" customHeight="true" outlineLevel="0" collapsed="false">
      <c r="A64" s="37" t="str">
        <f aca="false">IF(B64="","",COUNTA(B$39:B64)-1)</f>
        <v/>
      </c>
      <c r="B64" s="38"/>
      <c r="C64" s="39"/>
      <c r="D64" s="40" t="str">
        <f aca="false">IFERROR(VLOOKUP($F$3,Data!$A:$B,2,0)&amp;"-P"&amp;TEXT(ROW()-ROW($D$39),"0"),"-P"&amp;TEXT(ROW()-ROW($D$39),"0"))</f>
        <v>ZF-P25</v>
      </c>
      <c r="E64" s="41"/>
      <c r="F64" s="41"/>
      <c r="G64" s="41"/>
      <c r="H64" s="41"/>
      <c r="I64" s="41"/>
      <c r="J64" s="42"/>
      <c r="K64" s="43"/>
      <c r="L64" s="43"/>
      <c r="M64" s="44" t="str">
        <f aca="false">IFERROR(IF(OR(K64="",L64="",ISNUMBER(SEARCH("متوسط",I64)),ISNUMBER(SEARCH("ليكرت",G64)),ISNUMBER(SEARCH("نوعي",E64))),"",K64+L64),"")</f>
        <v/>
      </c>
      <c r="N64" s="43"/>
      <c r="O64" s="43"/>
      <c r="P64" s="43"/>
      <c r="Q64" s="43"/>
      <c r="R64" s="43"/>
      <c r="S64" s="43"/>
      <c r="T64" s="43"/>
      <c r="U64" s="43"/>
      <c r="V64" s="44" t="str">
        <f aca="false">IFERROR(IF(COUNT(O64,Q64,S64,U64)=0,"",IF(ISNUMBER(SEARCH("تراكمي",I64)),IF(ISNUMBER(U64),U64,IF(ISNUMBER(S64),S64,IF(ISNUMBER(Q64),Q64,O64))),IF(ISNUMBER(SEARCH("متوسط",I64)),AVERAGE(O64,Q64,S64,U64),IF(AND(ISNUMBER(SEARCH("سنوي",I64)),ISERROR(SEARCH("نصف",I64))),IF(ISNUMBER(U64),U64,""),SUM(O64,Q64,S64,U64))))),"-")</f>
        <v/>
      </c>
      <c r="W64" s="45" t="str">
        <f aca="false">IF(OR(NOT(ISNUMBER(L64)),NOT(ISNUMBER(V64))),"",IFERROR(IF(ISNUMBER(SEARCH("تنازلي",H64)),  IF(V64=0,100,(L64/V64)*100),  (V64/L64)*100),"-"))</f>
        <v/>
      </c>
      <c r="X64" s="45" t="str">
        <f aca="false">IF(AND(ISNUMBER(W64),ISNUMBER(J64)),MIN(W64,100)/100*J64,"")</f>
        <v/>
      </c>
    </row>
    <row r="65" customFormat="false" ht="25.5" hidden="false" customHeight="true" outlineLevel="0" collapsed="false">
      <c r="A65" s="37" t="str">
        <f aca="false">IF(B65="","",COUNTA(B$39:B65)-1)</f>
        <v/>
      </c>
      <c r="B65" s="38"/>
      <c r="C65" s="39"/>
      <c r="D65" s="40" t="str">
        <f aca="false">IFERROR(VLOOKUP($F$3,Data!$A:$B,2,0)&amp;"-P"&amp;TEXT(ROW()-ROW($D$39),"0"),"-P"&amp;TEXT(ROW()-ROW($D$39),"0"))</f>
        <v>ZF-P26</v>
      </c>
      <c r="E65" s="41"/>
      <c r="F65" s="41"/>
      <c r="G65" s="41"/>
      <c r="H65" s="41"/>
      <c r="I65" s="41"/>
      <c r="J65" s="42"/>
      <c r="K65" s="43"/>
      <c r="L65" s="43"/>
      <c r="M65" s="44" t="str">
        <f aca="false">IFERROR(IF(OR(K65="",L65="",ISNUMBER(SEARCH("متوسط",I65)),ISNUMBER(SEARCH("ليكرت",G65)),ISNUMBER(SEARCH("نوعي",E65))),"",K65+L65),"")</f>
        <v/>
      </c>
      <c r="N65" s="43"/>
      <c r="O65" s="43"/>
      <c r="P65" s="43"/>
      <c r="Q65" s="43"/>
      <c r="R65" s="43"/>
      <c r="S65" s="43"/>
      <c r="T65" s="43"/>
      <c r="U65" s="43"/>
      <c r="V65" s="44" t="str">
        <f aca="false">IFERROR(IF(COUNT(O65,Q65,S65,U65)=0,"",IF(ISNUMBER(SEARCH("تراكمي",I65)),IF(ISNUMBER(U65),U65,IF(ISNUMBER(S65),S65,IF(ISNUMBER(Q65),Q65,O65))),IF(ISNUMBER(SEARCH("متوسط",I65)),AVERAGE(O65,Q65,S65,U65),IF(AND(ISNUMBER(SEARCH("سنوي",I65)),ISERROR(SEARCH("نصف",I65))),IF(ISNUMBER(U65),U65,""),SUM(O65,Q65,S65,U65))))),"-")</f>
        <v/>
      </c>
      <c r="W65" s="45" t="str">
        <f aca="false">IF(OR(NOT(ISNUMBER(L65)),NOT(ISNUMBER(V65))),"",IFERROR(IF(ISNUMBER(SEARCH("تنازلي",H65)),  IF(V65=0,100,(L65/V65)*100),  (V65/L65)*100),"-"))</f>
        <v/>
      </c>
      <c r="X65" s="45" t="str">
        <f aca="false">IF(AND(ISNUMBER(W65),ISNUMBER(J65)),MIN(W65,100)/100*J65,"")</f>
        <v/>
      </c>
    </row>
    <row r="66" customFormat="false" ht="25.5" hidden="false" customHeight="true" outlineLevel="0" collapsed="false">
      <c r="A66" s="37" t="str">
        <f aca="false">IF(B66="","",COUNTA(B$39:B66)-1)</f>
        <v/>
      </c>
      <c r="B66" s="38"/>
      <c r="C66" s="39"/>
      <c r="D66" s="40" t="str">
        <f aca="false">IFERROR(VLOOKUP($F$3,Data!$A:$B,2,0)&amp;"-P"&amp;TEXT(ROW()-ROW($D$39),"0"),"-P"&amp;TEXT(ROW()-ROW($D$39),"0"))</f>
        <v>ZF-P27</v>
      </c>
      <c r="E66" s="41"/>
      <c r="F66" s="41"/>
      <c r="G66" s="41"/>
      <c r="H66" s="41"/>
      <c r="I66" s="41"/>
      <c r="J66" s="42"/>
      <c r="K66" s="43"/>
      <c r="L66" s="43"/>
      <c r="M66" s="44" t="str">
        <f aca="false">IFERROR(IF(OR(K66="",L66="",ISNUMBER(SEARCH("متوسط",I66)),ISNUMBER(SEARCH("ليكرت",G66)),ISNUMBER(SEARCH("نوعي",E66))),"",K66+L66),"")</f>
        <v/>
      </c>
      <c r="N66" s="43"/>
      <c r="O66" s="43"/>
      <c r="P66" s="43"/>
      <c r="Q66" s="43"/>
      <c r="R66" s="43"/>
      <c r="S66" s="43"/>
      <c r="T66" s="43"/>
      <c r="U66" s="43"/>
      <c r="V66" s="44" t="str">
        <f aca="false">IFERROR(IF(COUNT(O66,Q66,S66,U66)=0,"",IF(ISNUMBER(SEARCH("تراكمي",I66)),IF(ISNUMBER(U66),U66,IF(ISNUMBER(S66),S66,IF(ISNUMBER(Q66),Q66,O66))),IF(ISNUMBER(SEARCH("متوسط",I66)),AVERAGE(O66,Q66,S66,U66),IF(AND(ISNUMBER(SEARCH("سنوي",I66)),ISERROR(SEARCH("نصف",I66))),IF(ISNUMBER(U66),U66,""),SUM(O66,Q66,S66,U66))))),"-")</f>
        <v/>
      </c>
      <c r="W66" s="45" t="str">
        <f aca="false">IF(OR(NOT(ISNUMBER(L66)),NOT(ISNUMBER(V66))),"",IFERROR(IF(ISNUMBER(SEARCH("تنازلي",H66)),  IF(V66=0,100,(L66/V66)*100),  (V66/L66)*100),"-"))</f>
        <v/>
      </c>
      <c r="X66" s="45" t="str">
        <f aca="false">IF(AND(ISNUMBER(W66),ISNUMBER(J66)),MIN(W66,100)/100*J66,"")</f>
        <v/>
      </c>
    </row>
    <row r="67" customFormat="false" ht="25.5" hidden="false" customHeight="true" outlineLevel="0" collapsed="false">
      <c r="A67" s="37" t="str">
        <f aca="false">IF(B67="","",COUNTA(B$39:B67)-1)</f>
        <v/>
      </c>
      <c r="B67" s="38"/>
      <c r="C67" s="39"/>
      <c r="D67" s="40" t="str">
        <f aca="false">IFERROR(VLOOKUP($F$3,Data!$A:$B,2,0)&amp;"-P"&amp;TEXT(ROW()-ROW($D$39),"0"),"-P"&amp;TEXT(ROW()-ROW($D$39),"0"))</f>
        <v>ZF-P28</v>
      </c>
      <c r="E67" s="41"/>
      <c r="F67" s="41"/>
      <c r="G67" s="41"/>
      <c r="H67" s="41"/>
      <c r="I67" s="41"/>
      <c r="J67" s="42"/>
      <c r="K67" s="43"/>
      <c r="L67" s="43"/>
      <c r="M67" s="44" t="str">
        <f aca="false">IFERROR(IF(OR(K67="",L67="",ISNUMBER(SEARCH("متوسط",I67)),ISNUMBER(SEARCH("ليكرت",G67)),ISNUMBER(SEARCH("نوعي",E67))),"",K67+L67),"")</f>
        <v/>
      </c>
      <c r="N67" s="43"/>
      <c r="O67" s="43"/>
      <c r="P67" s="43"/>
      <c r="Q67" s="43"/>
      <c r="R67" s="43"/>
      <c r="S67" s="43"/>
      <c r="T67" s="43"/>
      <c r="U67" s="43"/>
      <c r="V67" s="44" t="str">
        <f aca="false">IFERROR(IF(COUNT(O67,Q67,S67,U67)=0,"",IF(ISNUMBER(SEARCH("تراكمي",I67)),IF(ISNUMBER(U67),U67,IF(ISNUMBER(S67),S67,IF(ISNUMBER(Q67),Q67,O67))),IF(ISNUMBER(SEARCH("متوسط",I67)),AVERAGE(O67,Q67,S67,U67),IF(AND(ISNUMBER(SEARCH("سنوي",I67)),ISERROR(SEARCH("نصف",I67))),IF(ISNUMBER(U67),U67,""),SUM(O67,Q67,S67,U67))))),"-")</f>
        <v/>
      </c>
      <c r="W67" s="45" t="str">
        <f aca="false">IF(OR(NOT(ISNUMBER(L67)),NOT(ISNUMBER(V67))),"",IFERROR(IF(ISNUMBER(SEARCH("تنازلي",H67)),  IF(V67=0,100,(L67/V67)*100),  (V67/L67)*100),"-"))</f>
        <v/>
      </c>
      <c r="X67" s="45" t="str">
        <f aca="false">IF(AND(ISNUMBER(W67),ISNUMBER(J67)),MIN(W67,100)/100*J67,"")</f>
        <v/>
      </c>
    </row>
    <row r="68" customFormat="false" ht="25.5" hidden="false" customHeight="true" outlineLevel="0" collapsed="false">
      <c r="A68" s="37" t="str">
        <f aca="false">IF(B68="","",COUNTA(B$39:B68)-1)</f>
        <v/>
      </c>
      <c r="B68" s="38"/>
      <c r="C68" s="39"/>
      <c r="D68" s="40" t="str">
        <f aca="false">IFERROR(VLOOKUP($F$3,Data!$A:$B,2,0)&amp;"-P"&amp;TEXT(ROW()-ROW($D$39),"0"),"-P"&amp;TEXT(ROW()-ROW($D$39),"0"))</f>
        <v>ZF-P29</v>
      </c>
      <c r="E68" s="41"/>
      <c r="F68" s="41"/>
      <c r="G68" s="41"/>
      <c r="H68" s="41"/>
      <c r="I68" s="41"/>
      <c r="J68" s="42"/>
      <c r="K68" s="43"/>
      <c r="L68" s="43"/>
      <c r="M68" s="44" t="str">
        <f aca="false">IFERROR(IF(OR(K68="",L68="",ISNUMBER(SEARCH("متوسط",I68)),ISNUMBER(SEARCH("ليكرت",G68)),ISNUMBER(SEARCH("نوعي",E68))),"",K68+L68),"")</f>
        <v/>
      </c>
      <c r="N68" s="43"/>
      <c r="O68" s="43"/>
      <c r="P68" s="43"/>
      <c r="Q68" s="43"/>
      <c r="R68" s="43"/>
      <c r="S68" s="43"/>
      <c r="T68" s="43"/>
      <c r="U68" s="43"/>
      <c r="V68" s="44" t="str">
        <f aca="false">IFERROR(IF(COUNT(O68,Q68,S68,U68)=0,"",IF(ISNUMBER(SEARCH("تراكمي",I68)),IF(ISNUMBER(U68),U68,IF(ISNUMBER(S68),S68,IF(ISNUMBER(Q68),Q68,O68))),IF(ISNUMBER(SEARCH("متوسط",I68)),AVERAGE(O68,Q68,S68,U68),IF(AND(ISNUMBER(SEARCH("سنوي",I68)),ISERROR(SEARCH("نصف",I68))),IF(ISNUMBER(U68),U68,""),SUM(O68,Q68,S68,U68))))),"-")</f>
        <v/>
      </c>
      <c r="W68" s="45" t="str">
        <f aca="false">IF(OR(NOT(ISNUMBER(L68)),NOT(ISNUMBER(V68))),"",IFERROR(IF(ISNUMBER(SEARCH("تنازلي",H68)),  IF(V68=0,100,(L68/V68)*100),  (V68/L68)*100),"-"))</f>
        <v/>
      </c>
      <c r="X68" s="45" t="str">
        <f aca="false">IF(AND(ISNUMBER(W68),ISNUMBER(J68)),MIN(W68,100)/100*J68,"")</f>
        <v/>
      </c>
    </row>
    <row r="69" customFormat="false" ht="25.5" hidden="false" customHeight="true" outlineLevel="0" collapsed="false">
      <c r="A69" s="37" t="str">
        <f aca="false">IF(B69="","",COUNTA(B$39:B69)-1)</f>
        <v/>
      </c>
      <c r="B69" s="38"/>
      <c r="C69" s="39"/>
      <c r="D69" s="40" t="str">
        <f aca="false">IFERROR(VLOOKUP($F$3,Data!$A:$B,2,0)&amp;"-P"&amp;TEXT(ROW()-ROW($D$39),"0"),"-P"&amp;TEXT(ROW()-ROW($D$39),"0"))</f>
        <v>ZF-P30</v>
      </c>
      <c r="E69" s="41"/>
      <c r="F69" s="41"/>
      <c r="G69" s="41"/>
      <c r="H69" s="41"/>
      <c r="I69" s="41"/>
      <c r="J69" s="42"/>
      <c r="K69" s="43"/>
      <c r="L69" s="43"/>
      <c r="M69" s="44" t="str">
        <f aca="false">IFERROR(IF(OR(K69="",L69="",ISNUMBER(SEARCH("متوسط",I69)),ISNUMBER(SEARCH("ليكرت",G69)),ISNUMBER(SEARCH("نوعي",E69))),"",K69+L69),"")</f>
        <v/>
      </c>
      <c r="N69" s="43"/>
      <c r="O69" s="43"/>
      <c r="P69" s="43"/>
      <c r="Q69" s="43"/>
      <c r="R69" s="43"/>
      <c r="S69" s="43"/>
      <c r="T69" s="43"/>
      <c r="U69" s="43"/>
      <c r="V69" s="44" t="str">
        <f aca="false">IFERROR(IF(COUNT(O69,Q69,S69,U69)=0,"",IF(ISNUMBER(SEARCH("تراكمي",I69)),IF(ISNUMBER(U69),U69,IF(ISNUMBER(S69),S69,IF(ISNUMBER(Q69),Q69,O69))),IF(ISNUMBER(SEARCH("متوسط",I69)),AVERAGE(O69,Q69,S69,U69),IF(AND(ISNUMBER(SEARCH("سنوي",I69)),ISERROR(SEARCH("نصف",I69))),IF(ISNUMBER(U69),U69,""),SUM(O69,Q69,S69,U69))))),"-")</f>
        <v/>
      </c>
      <c r="W69" s="45" t="str">
        <f aca="false">IF(OR(NOT(ISNUMBER(L69)),NOT(ISNUMBER(V69))),"",IFERROR(IF(ISNUMBER(SEARCH("تنازلي",H69)),  IF(V69=0,100,(L69/V69)*100),  (V69/L69)*100),"-"))</f>
        <v/>
      </c>
      <c r="X69" s="45" t="str">
        <f aca="false">IF(AND(ISNUMBER(W69),ISNUMBER(J69)),MIN(W69,100)/100*J69,"")</f>
        <v/>
      </c>
    </row>
    <row r="70" customFormat="false" ht="20.25" hidden="false" customHeight="true" outlineLevel="0" collapsed="false">
      <c r="A70" s="46" t="s">
        <v>398</v>
      </c>
      <c r="B70" s="46"/>
      <c r="C70" s="46"/>
      <c r="D70" s="46"/>
      <c r="E70" s="46"/>
      <c r="F70" s="46"/>
      <c r="G70" s="46"/>
      <c r="H70" s="46"/>
      <c r="I70" s="46"/>
      <c r="J70" s="47" t="n">
        <f aca="false">SUM(J39:INDEX(J:J,ROW()-1))</f>
        <v>25</v>
      </c>
      <c r="K70" s="48"/>
      <c r="L70" s="48"/>
      <c r="M70" s="48"/>
      <c r="N70" s="48"/>
      <c r="O70" s="48"/>
      <c r="P70" s="48"/>
      <c r="Q70" s="48"/>
      <c r="R70" s="48"/>
      <c r="S70" s="48"/>
      <c r="T70" s="48"/>
      <c r="U70" s="48"/>
      <c r="V70" s="48"/>
      <c r="W70" s="48"/>
      <c r="X70" s="47" t="n">
        <f aca="false">IF(COUNT(X39:INDEX(X:X,ROW()-1))=0,"",SUM(X39:INDEX(X:X,ROW()-1)))</f>
        <v>19</v>
      </c>
    </row>
    <row r="71" customFormat="false" ht="7.5" hidden="false" customHeight="true" outlineLevel="0" collapsed="false"/>
    <row r="72" customFormat="false" ht="30" hidden="false" customHeight="true" outlineLevel="0" collapsed="false">
      <c r="A72" s="32"/>
      <c r="B72" s="4" t="s">
        <v>407</v>
      </c>
      <c r="C72" s="4"/>
      <c r="D72" s="4"/>
      <c r="E72" s="33" t="s">
        <v>355</v>
      </c>
      <c r="F72" s="33"/>
      <c r="G72" s="33"/>
      <c r="H72" s="33"/>
      <c r="I72" s="33"/>
      <c r="J72" s="33"/>
      <c r="K72" s="33"/>
      <c r="L72" s="33"/>
      <c r="M72" s="34" t="s">
        <v>356</v>
      </c>
      <c r="N72" s="33" t="s">
        <v>357</v>
      </c>
      <c r="O72" s="33"/>
      <c r="P72" s="33"/>
      <c r="Q72" s="33"/>
      <c r="R72" s="33"/>
      <c r="S72" s="33"/>
      <c r="T72" s="33"/>
      <c r="U72" s="33"/>
      <c r="V72" s="33" t="s">
        <v>358</v>
      </c>
      <c r="W72" s="33"/>
      <c r="X72" s="33"/>
    </row>
    <row r="73" customFormat="false" ht="43.5" hidden="false" customHeight="true" outlineLevel="0" collapsed="false">
      <c r="A73" s="35" t="s">
        <v>359</v>
      </c>
      <c r="B73" s="36" t="s">
        <v>360</v>
      </c>
      <c r="C73" s="36" t="s">
        <v>361</v>
      </c>
      <c r="D73" s="36" t="s">
        <v>362</v>
      </c>
      <c r="E73" s="36" t="s">
        <v>363</v>
      </c>
      <c r="F73" s="36" t="s">
        <v>364</v>
      </c>
      <c r="G73" s="36" t="s">
        <v>365</v>
      </c>
      <c r="H73" s="36" t="s">
        <v>366</v>
      </c>
      <c r="I73" s="36" t="s">
        <v>367</v>
      </c>
      <c r="J73" s="36" t="s">
        <v>368</v>
      </c>
      <c r="K73" s="36" t="s">
        <v>369</v>
      </c>
      <c r="L73" s="36" t="s">
        <v>370</v>
      </c>
      <c r="M73" s="36" t="s">
        <v>371</v>
      </c>
      <c r="N73" s="36" t="s">
        <v>372</v>
      </c>
      <c r="O73" s="36" t="s">
        <v>373</v>
      </c>
      <c r="P73" s="36" t="s">
        <v>374</v>
      </c>
      <c r="Q73" s="36" t="s">
        <v>375</v>
      </c>
      <c r="R73" s="36" t="s">
        <v>376</v>
      </c>
      <c r="S73" s="36" t="s">
        <v>377</v>
      </c>
      <c r="T73" s="36" t="s">
        <v>378</v>
      </c>
      <c r="U73" s="36" t="s">
        <v>379</v>
      </c>
      <c r="V73" s="36" t="s">
        <v>380</v>
      </c>
      <c r="W73" s="36" t="s">
        <v>381</v>
      </c>
      <c r="X73" s="36" t="s">
        <v>382</v>
      </c>
    </row>
    <row r="74" customFormat="false" ht="25.5" hidden="false" customHeight="true" outlineLevel="0" collapsed="false">
      <c r="A74" s="37" t="n">
        <f aca="false">IF(B74="","",COUNTA(B$73:B74)-1)</f>
        <v>1</v>
      </c>
      <c r="B74" s="38" t="s">
        <v>408</v>
      </c>
      <c r="C74" s="39" t="s">
        <v>409</v>
      </c>
      <c r="D74" s="40" t="str">
        <f aca="false">IFERROR(VLOOKUP($F$3,Data!$A:$B,2,0)&amp;"-L"&amp;TEXT(ROW()-ROW($D$73),"0"),"-L"&amp;TEXT(ROW()-ROW($D$73),"0"))</f>
        <v>ZF-L1</v>
      </c>
      <c r="E74" s="41" t="s">
        <v>410</v>
      </c>
      <c r="F74" s="41" t="s">
        <v>386</v>
      </c>
      <c r="G74" s="41" t="s">
        <v>411</v>
      </c>
      <c r="H74" s="41" t="s">
        <v>388</v>
      </c>
      <c r="I74" s="41" t="s">
        <v>412</v>
      </c>
      <c r="J74" s="42" t="n">
        <v>10</v>
      </c>
      <c r="K74" s="43" t="n">
        <v>3</v>
      </c>
      <c r="L74" s="43" t="n">
        <v>4</v>
      </c>
      <c r="M74" s="44" t="str">
        <f aca="false">IFERROR(IF(OR(K74="",L74="",ISNUMBER(SEARCH("متوسط",I74)),ISNUMBER(SEARCH("ليكرت",G74)),ISNUMBER(SEARCH("نوعي",E74))),"",K74+L74),"")</f>
        <v/>
      </c>
      <c r="N74" s="43" t="n">
        <v>4</v>
      </c>
      <c r="O74" s="43" t="n">
        <v>3.6</v>
      </c>
      <c r="P74" s="43"/>
      <c r="Q74" s="43"/>
      <c r="R74" s="43" t="n">
        <v>4</v>
      </c>
      <c r="S74" s="43"/>
      <c r="T74" s="43"/>
      <c r="U74" s="43"/>
      <c r="V74" s="44" t="n">
        <f aca="false">IFERROR(IF(COUNT(O74,Q74,S74,U74)=0,"",IF(ISNUMBER(SEARCH("تراكمي",I74)),IF(ISNUMBER(U74),U74,IF(ISNUMBER(S74),S74,IF(ISNUMBER(Q74),Q74,O74))),IF(ISNUMBER(SEARCH("متوسط",I74)),AVERAGE(O74,Q74,S74,U74),IF(AND(ISNUMBER(SEARCH("سنوي",I74)),ISERROR(SEARCH("نصف",I74))),IF(ISNUMBER(U74),U74,""),SUM(O74,Q74,S74,U74))))),"-")</f>
        <v>3.6</v>
      </c>
      <c r="W74" s="45" t="n">
        <f aca="false">IF(OR(NOT(ISNUMBER(L74)),NOT(ISNUMBER(V74))),"",IFERROR(IF(ISNUMBER(SEARCH("تنازلي",H74)),  IF(V74=0,100,(L74/V74)*100),  (V74/L74)*100),"-"))</f>
        <v>90</v>
      </c>
      <c r="X74" s="45" t="n">
        <f aca="false">IF(AND(ISNUMBER(W74),ISNUMBER(J74)),MIN(W74,100)/100*J74,"")</f>
        <v>9</v>
      </c>
    </row>
    <row r="75" customFormat="false" ht="25.5" hidden="false" customHeight="true" outlineLevel="0" collapsed="false">
      <c r="A75" s="37" t="n">
        <f aca="false">IF(B75="","",COUNTA(B$73:B75)-1)</f>
        <v>2</v>
      </c>
      <c r="B75" s="38" t="s">
        <v>413</v>
      </c>
      <c r="C75" s="39" t="s">
        <v>414</v>
      </c>
      <c r="D75" s="40" t="str">
        <f aca="false">IFERROR(VLOOKUP($F$3,Data!$A:$B,2,0)&amp;"-L"&amp;TEXT(ROW()-ROW($D$73),"0"),"-L"&amp;TEXT(ROW()-ROW($D$73),"0"))</f>
        <v>ZF-L2</v>
      </c>
      <c r="E75" s="41" t="s">
        <v>391</v>
      </c>
      <c r="F75" s="41" t="s">
        <v>396</v>
      </c>
      <c r="G75" s="41" t="s">
        <v>392</v>
      </c>
      <c r="H75" s="41" t="s">
        <v>388</v>
      </c>
      <c r="I75" s="41" t="s">
        <v>415</v>
      </c>
      <c r="J75" s="42" t="n">
        <v>10</v>
      </c>
      <c r="K75" s="43" t="n">
        <v>0</v>
      </c>
      <c r="L75" s="43" t="n">
        <v>200</v>
      </c>
      <c r="M75" s="44" t="n">
        <f aca="false">IFERROR(IF(OR(K75="",L75="",ISNUMBER(SEARCH("متوسط",I75)),ISNUMBER(SEARCH("ليكرت",G75)),ISNUMBER(SEARCH("نوعي",E75))),"",K75+L75),"")</f>
        <v>200</v>
      </c>
      <c r="N75" s="43"/>
      <c r="O75" s="43"/>
      <c r="P75" s="43" t="n">
        <v>100</v>
      </c>
      <c r="Q75" s="43" t="n">
        <v>120</v>
      </c>
      <c r="R75" s="43"/>
      <c r="S75" s="43"/>
      <c r="T75" s="43" t="n">
        <v>100</v>
      </c>
      <c r="U75" s="43"/>
      <c r="V75" s="44" t="n">
        <f aca="false">IFERROR(IF(COUNT(O75,Q75,S75,U75)=0,"",IF(ISNUMBER(SEARCH("تراكمي",I75)),IF(ISNUMBER(U75),U75,IF(ISNUMBER(S75),S75,IF(ISNUMBER(Q75),Q75,O75))),IF(ISNUMBER(SEARCH("متوسط",I75)),AVERAGE(O75,Q75,S75,U75),IF(AND(ISNUMBER(SEARCH("سنوي",I75)),ISERROR(SEARCH("نصف",I75))),IF(ISNUMBER(U75),U75,""),SUM(O75,Q75,S75,U75))))),"-")</f>
        <v>120</v>
      </c>
      <c r="W75" s="45" t="n">
        <f aca="false">IF(OR(NOT(ISNUMBER(L75)),NOT(ISNUMBER(V75))),"",IFERROR(IF(ISNUMBER(SEARCH("تنازلي",H75)),  IF(V75=0,100,(L75/V75)*100),  (V75/L75)*100),"-"))</f>
        <v>60</v>
      </c>
      <c r="X75" s="45" t="n">
        <f aca="false">IF(AND(ISNUMBER(W75),ISNUMBER(J75)),MIN(W75,100)/100*J75,"")</f>
        <v>6</v>
      </c>
    </row>
    <row r="76" customFormat="false" ht="25.5" hidden="false" customHeight="true" outlineLevel="0" collapsed="false">
      <c r="A76" s="37" t="str">
        <f aca="false">IF(B76="","",COUNTA(B$73:B76)-1)</f>
        <v/>
      </c>
      <c r="B76" s="38"/>
      <c r="C76" s="39" t="s">
        <v>51</v>
      </c>
      <c r="D76" s="40" t="str">
        <f aca="false">IFERROR(VLOOKUP($F$3,Data!$A:$B,2,0)&amp;"-L"&amp;TEXT(ROW()-ROW($D$73),"0"),"-L"&amp;TEXT(ROW()-ROW($D$73),"0"))</f>
        <v>ZF-L3</v>
      </c>
      <c r="E76" s="41" t="s">
        <v>385</v>
      </c>
      <c r="F76" s="41" t="s">
        <v>396</v>
      </c>
      <c r="G76" s="41" t="s">
        <v>387</v>
      </c>
      <c r="H76" s="41" t="s">
        <v>388</v>
      </c>
      <c r="I76" s="41" t="s">
        <v>416</v>
      </c>
      <c r="J76" s="42" t="n">
        <v>5</v>
      </c>
      <c r="K76" s="43" t="n">
        <v>0</v>
      </c>
      <c r="L76" s="43" t="n">
        <v>100</v>
      </c>
      <c r="M76" s="44" t="n">
        <f aca="false">IFERROR(IF(OR(K76="",L76="",ISNUMBER(SEARCH("متوسط",I76)),ISNUMBER(SEARCH("ليكرت",G76)),ISNUMBER(SEARCH("نوعي",E76))),"",K76+L76),"")</f>
        <v>100</v>
      </c>
      <c r="N76" s="43"/>
      <c r="O76" s="43"/>
      <c r="P76" s="43"/>
      <c r="Q76" s="43"/>
      <c r="R76" s="43"/>
      <c r="S76" s="43"/>
      <c r="T76" s="43" t="n">
        <v>100</v>
      </c>
      <c r="U76" s="43"/>
      <c r="V76" s="44" t="str">
        <f aca="false">IFERROR(IF(COUNT(O76,Q76,S76,U76)=0,"",IF(ISNUMBER(SEARCH("تراكمي",I76)),IF(ISNUMBER(U76),U76,IF(ISNUMBER(S76),S76,IF(ISNUMBER(Q76),Q76,O76))),IF(ISNUMBER(SEARCH("متوسط",I76)),AVERAGE(O76,Q76,S76,U76),IF(AND(ISNUMBER(SEARCH("سنوي",I76)),ISERROR(SEARCH("نصف",I76))),IF(ISNUMBER(U76),U76,""),SUM(O76,Q76,S76,U76))))),"-")</f>
        <v/>
      </c>
      <c r="W76" s="45" t="str">
        <f aca="false">IF(OR(NOT(ISNUMBER(L76)),NOT(ISNUMBER(V76))),"",IFERROR(IF(ISNUMBER(SEARCH("تنازلي",H76)),  IF(V76=0,100,(L76/V76)*100),  (V76/L76)*100),"-"))</f>
        <v/>
      </c>
      <c r="X76" s="45" t="str">
        <f aca="false">IF(AND(ISNUMBER(W76),ISNUMBER(J76)),MIN(W76,100)/100*J76,"")</f>
        <v/>
      </c>
    </row>
    <row r="77" customFormat="false" ht="25.5" hidden="false" customHeight="true" outlineLevel="0" collapsed="false">
      <c r="A77" s="37" t="str">
        <f aca="false">IF(B77="","",COUNTA(B$73:B77)-1)</f>
        <v/>
      </c>
      <c r="B77" s="38"/>
      <c r="C77" s="39"/>
      <c r="D77" s="40" t="str">
        <f aca="false">IFERROR(VLOOKUP($F$3,Data!$A:$B,2,0)&amp;"-L"&amp;TEXT(ROW()-ROW($D$73),"0"),"-L"&amp;TEXT(ROW()-ROW($D$73),"0"))</f>
        <v>ZF-L4</v>
      </c>
      <c r="E77" s="41"/>
      <c r="F77" s="41"/>
      <c r="G77" s="41"/>
      <c r="H77" s="41"/>
      <c r="I77" s="41"/>
      <c r="J77" s="42"/>
      <c r="K77" s="43"/>
      <c r="L77" s="43"/>
      <c r="M77" s="44" t="str">
        <f aca="false">IFERROR(IF(OR(K77="",L77="",ISNUMBER(SEARCH("متوسط",I77)),ISNUMBER(SEARCH("ليكرت",G77)),ISNUMBER(SEARCH("نوعي",E77))),"",K77+L77),"")</f>
        <v/>
      </c>
      <c r="N77" s="43"/>
      <c r="O77" s="43"/>
      <c r="P77" s="43"/>
      <c r="Q77" s="43"/>
      <c r="R77" s="43"/>
      <c r="S77" s="43"/>
      <c r="T77" s="43"/>
      <c r="U77" s="43"/>
      <c r="V77" s="44" t="str">
        <f aca="false">IFERROR(IF(COUNT(O77,Q77,S77,U77)=0,"",IF(ISNUMBER(SEARCH("تراكمي",I77)),IF(ISNUMBER(U77),U77,IF(ISNUMBER(S77),S77,IF(ISNUMBER(Q77),Q77,O77))),IF(ISNUMBER(SEARCH("متوسط",I77)),AVERAGE(O77,Q77,S77,U77),IF(AND(ISNUMBER(SEARCH("سنوي",I77)),ISERROR(SEARCH("نصف",I77))),IF(ISNUMBER(U77),U77,""),SUM(O77,Q77,S77,U77))))),"-")</f>
        <v/>
      </c>
      <c r="W77" s="45" t="str">
        <f aca="false">IF(OR(NOT(ISNUMBER(L77)),NOT(ISNUMBER(V77))),"",IFERROR(IF(ISNUMBER(SEARCH("تنازلي",H77)),  IF(V77=0,100,(L77/V77)*100),  (V77/L77)*100),"-"))</f>
        <v/>
      </c>
      <c r="X77" s="45" t="str">
        <f aca="false">IF(AND(ISNUMBER(W77),ISNUMBER(J77)),MIN(W77,100)/100*J77,"")</f>
        <v/>
      </c>
    </row>
    <row r="78" customFormat="false" ht="25.5" hidden="false" customHeight="true" outlineLevel="0" collapsed="false">
      <c r="A78" s="37" t="str">
        <f aca="false">IF(B78="","",COUNTA(B$73:B78)-1)</f>
        <v/>
      </c>
      <c r="B78" s="38"/>
      <c r="C78" s="39"/>
      <c r="D78" s="40" t="str">
        <f aca="false">IFERROR(VLOOKUP($F$3,Data!$A:$B,2,0)&amp;"-L"&amp;TEXT(ROW()-ROW($D$73),"0"),"-L"&amp;TEXT(ROW()-ROW($D$73),"0"))</f>
        <v>ZF-L5</v>
      </c>
      <c r="E78" s="41"/>
      <c r="F78" s="41"/>
      <c r="G78" s="41"/>
      <c r="H78" s="41"/>
      <c r="I78" s="41"/>
      <c r="J78" s="42"/>
      <c r="K78" s="43"/>
      <c r="L78" s="43"/>
      <c r="M78" s="44" t="str">
        <f aca="false">IFERROR(IF(OR(K78="",L78="",ISNUMBER(SEARCH("متوسط",I78)),ISNUMBER(SEARCH("ليكرت",G78)),ISNUMBER(SEARCH("نوعي",E78))),"",K78+L78),"")</f>
        <v/>
      </c>
      <c r="N78" s="43"/>
      <c r="O78" s="43"/>
      <c r="P78" s="43"/>
      <c r="Q78" s="43"/>
      <c r="R78" s="43"/>
      <c r="S78" s="43"/>
      <c r="T78" s="43"/>
      <c r="U78" s="43"/>
      <c r="V78" s="44" t="str">
        <f aca="false">IFERROR(IF(COUNT(O78,Q78,S78,U78)=0,"",IF(ISNUMBER(SEARCH("تراكمي",I78)),IF(ISNUMBER(U78),U78,IF(ISNUMBER(S78),S78,IF(ISNUMBER(Q78),Q78,O78))),IF(ISNUMBER(SEARCH("متوسط",I78)),AVERAGE(O78,Q78,S78,U78),IF(AND(ISNUMBER(SEARCH("سنوي",I78)),ISERROR(SEARCH("نصف",I78))),IF(ISNUMBER(U78),U78,""),SUM(O78,Q78,S78,U78))))),"-")</f>
        <v/>
      </c>
      <c r="W78" s="45" t="str">
        <f aca="false">IF(OR(NOT(ISNUMBER(L78)),NOT(ISNUMBER(V78))),"",IFERROR(IF(ISNUMBER(SEARCH("تنازلي",H78)),  IF(V78=0,100,(L78/V78)*100),  (V78/L78)*100),"-"))</f>
        <v/>
      </c>
      <c r="X78" s="45" t="str">
        <f aca="false">IF(AND(ISNUMBER(W78),ISNUMBER(J78)),MIN(W78,100)/100*J78,"")</f>
        <v/>
      </c>
    </row>
    <row r="79" customFormat="false" ht="25.5" hidden="false" customHeight="true" outlineLevel="0" collapsed="false">
      <c r="A79" s="37" t="str">
        <f aca="false">IF(B79="","",COUNTA(B$73:B79)-1)</f>
        <v/>
      </c>
      <c r="B79" s="38"/>
      <c r="C79" s="39"/>
      <c r="D79" s="40" t="str">
        <f aca="false">IFERROR(VLOOKUP($F$3,Data!$A:$B,2,0)&amp;"-L"&amp;TEXT(ROW()-ROW($D$73),"0"),"-L"&amp;TEXT(ROW()-ROW($D$73),"0"))</f>
        <v>ZF-L6</v>
      </c>
      <c r="E79" s="41"/>
      <c r="F79" s="41"/>
      <c r="G79" s="41"/>
      <c r="H79" s="41"/>
      <c r="I79" s="41"/>
      <c r="J79" s="42"/>
      <c r="K79" s="43"/>
      <c r="L79" s="43"/>
      <c r="M79" s="44" t="str">
        <f aca="false">IFERROR(IF(OR(K79="",L79="",ISNUMBER(SEARCH("متوسط",I79)),ISNUMBER(SEARCH("ليكرت",G79)),ISNUMBER(SEARCH("نوعي",E79))),"",K79+L79),"")</f>
        <v/>
      </c>
      <c r="N79" s="43"/>
      <c r="O79" s="43"/>
      <c r="P79" s="43"/>
      <c r="Q79" s="43"/>
      <c r="R79" s="43"/>
      <c r="S79" s="43"/>
      <c r="T79" s="43"/>
      <c r="U79" s="43"/>
      <c r="V79" s="44" t="str">
        <f aca="false">IFERROR(IF(COUNT(O79,Q79,S79,U79)=0,"",IF(ISNUMBER(SEARCH("تراكمي",I79)),IF(ISNUMBER(U79),U79,IF(ISNUMBER(S79),S79,IF(ISNUMBER(Q79),Q79,O79))),IF(ISNUMBER(SEARCH("متوسط",I79)),AVERAGE(O79,Q79,S79,U79),IF(AND(ISNUMBER(SEARCH("سنوي",I79)),ISERROR(SEARCH("نصف",I79))),IF(ISNUMBER(U79),U79,""),SUM(O79,Q79,S79,U79))))),"-")</f>
        <v/>
      </c>
      <c r="W79" s="45" t="str">
        <f aca="false">IF(OR(NOT(ISNUMBER(L79)),NOT(ISNUMBER(V79))),"",IFERROR(IF(ISNUMBER(SEARCH("تنازلي",H79)),  IF(V79=0,100,(L79/V79)*100),  (V79/L79)*100),"-"))</f>
        <v/>
      </c>
      <c r="X79" s="45" t="str">
        <f aca="false">IF(AND(ISNUMBER(W79),ISNUMBER(J79)),MIN(W79,100)/100*J79,"")</f>
        <v/>
      </c>
    </row>
    <row r="80" customFormat="false" ht="25.5" hidden="false" customHeight="true" outlineLevel="0" collapsed="false">
      <c r="A80" s="37" t="str">
        <f aca="false">IF(B80="","",COUNTA(B$73:B80)-1)</f>
        <v/>
      </c>
      <c r="B80" s="38"/>
      <c r="C80" s="39"/>
      <c r="D80" s="40" t="str">
        <f aca="false">IFERROR(VLOOKUP($F$3,Data!$A:$B,2,0)&amp;"-L"&amp;TEXT(ROW()-ROW($D$73),"0"),"-L"&amp;TEXT(ROW()-ROW($D$73),"0"))</f>
        <v>ZF-L7</v>
      </c>
      <c r="E80" s="41"/>
      <c r="F80" s="41"/>
      <c r="G80" s="41"/>
      <c r="H80" s="41"/>
      <c r="I80" s="41"/>
      <c r="J80" s="42"/>
      <c r="K80" s="43"/>
      <c r="L80" s="43"/>
      <c r="M80" s="44" t="str">
        <f aca="false">IFERROR(IF(OR(K80="",L80="",ISNUMBER(SEARCH("متوسط",I80)),ISNUMBER(SEARCH("ليكرت",G80)),ISNUMBER(SEARCH("نوعي",E80))),"",K80+L80),"")</f>
        <v/>
      </c>
      <c r="N80" s="43"/>
      <c r="O80" s="43"/>
      <c r="P80" s="43"/>
      <c r="Q80" s="43"/>
      <c r="R80" s="43"/>
      <c r="S80" s="43"/>
      <c r="T80" s="43"/>
      <c r="U80" s="43"/>
      <c r="V80" s="44" t="str">
        <f aca="false">IFERROR(IF(COUNT(O80,Q80,S80,U80)=0,"",IF(ISNUMBER(SEARCH("تراكمي",I80)),IF(ISNUMBER(U80),U80,IF(ISNUMBER(S80),S80,IF(ISNUMBER(Q80),Q80,O80))),IF(ISNUMBER(SEARCH("متوسط",I80)),AVERAGE(O80,Q80,S80,U80),IF(AND(ISNUMBER(SEARCH("سنوي",I80)),ISERROR(SEARCH("نصف",I80))),IF(ISNUMBER(U80),U80,""),SUM(O80,Q80,S80,U80))))),"-")</f>
        <v/>
      </c>
      <c r="W80" s="45" t="str">
        <f aca="false">IF(OR(NOT(ISNUMBER(L80)),NOT(ISNUMBER(V80))),"",IFERROR(IF(ISNUMBER(SEARCH("تنازلي",H80)),  IF(V80=0,100,(L80/V80)*100),  (V80/L80)*100),"-"))</f>
        <v/>
      </c>
      <c r="X80" s="45" t="str">
        <f aca="false">IF(AND(ISNUMBER(W80),ISNUMBER(J80)),MIN(W80,100)/100*J80,"")</f>
        <v/>
      </c>
    </row>
    <row r="81" customFormat="false" ht="25.5" hidden="false" customHeight="true" outlineLevel="0" collapsed="false">
      <c r="A81" s="37" t="str">
        <f aca="false">IF(B81="","",COUNTA(B$73:B81)-1)</f>
        <v/>
      </c>
      <c r="B81" s="38"/>
      <c r="C81" s="39"/>
      <c r="D81" s="40" t="str">
        <f aca="false">IFERROR(VLOOKUP($F$3,Data!$A:$B,2,0)&amp;"-L"&amp;TEXT(ROW()-ROW($D$73),"0"),"-L"&amp;TEXT(ROW()-ROW($D$73),"0"))</f>
        <v>ZF-L8</v>
      </c>
      <c r="E81" s="41"/>
      <c r="F81" s="41"/>
      <c r="G81" s="41"/>
      <c r="H81" s="41"/>
      <c r="I81" s="41"/>
      <c r="J81" s="42"/>
      <c r="K81" s="43"/>
      <c r="L81" s="43"/>
      <c r="M81" s="44" t="str">
        <f aca="false">IFERROR(IF(OR(K81="",L81="",ISNUMBER(SEARCH("متوسط",I81)),ISNUMBER(SEARCH("ليكرت",G81)),ISNUMBER(SEARCH("نوعي",E81))),"",K81+L81),"")</f>
        <v/>
      </c>
      <c r="N81" s="43"/>
      <c r="O81" s="43"/>
      <c r="P81" s="43"/>
      <c r="Q81" s="43"/>
      <c r="R81" s="43"/>
      <c r="S81" s="43"/>
      <c r="T81" s="43"/>
      <c r="U81" s="43"/>
      <c r="V81" s="44" t="str">
        <f aca="false">IFERROR(IF(COUNT(O81,Q81,S81,U81)=0,"",IF(ISNUMBER(SEARCH("تراكمي",I81)),IF(ISNUMBER(U81),U81,IF(ISNUMBER(S81),S81,IF(ISNUMBER(Q81),Q81,O81))),IF(ISNUMBER(SEARCH("متوسط",I81)),AVERAGE(O81,Q81,S81,U81),IF(AND(ISNUMBER(SEARCH("سنوي",I81)),ISERROR(SEARCH("نصف",I81))),IF(ISNUMBER(U81),U81,""),SUM(O81,Q81,S81,U81))))),"-")</f>
        <v/>
      </c>
      <c r="W81" s="45" t="str">
        <f aca="false">IF(OR(NOT(ISNUMBER(L81)),NOT(ISNUMBER(V81))),"",IFERROR(IF(ISNUMBER(SEARCH("تنازلي",H81)),  IF(V81=0,100,(L81/V81)*100),  (V81/L81)*100),"-"))</f>
        <v/>
      </c>
      <c r="X81" s="45" t="str">
        <f aca="false">IF(AND(ISNUMBER(W81),ISNUMBER(J81)),MIN(W81,100)/100*J81,"")</f>
        <v/>
      </c>
    </row>
    <row r="82" customFormat="false" ht="25.5" hidden="false" customHeight="true" outlineLevel="0" collapsed="false">
      <c r="A82" s="37" t="str">
        <f aca="false">IF(B82="","",COUNTA(B$73:B82)-1)</f>
        <v/>
      </c>
      <c r="B82" s="38"/>
      <c r="C82" s="39"/>
      <c r="D82" s="40" t="str">
        <f aca="false">IFERROR(VLOOKUP($F$3,Data!$A:$B,2,0)&amp;"-L"&amp;TEXT(ROW()-ROW($D$73),"0"),"-L"&amp;TEXT(ROW()-ROW($D$73),"0"))</f>
        <v>ZF-L9</v>
      </c>
      <c r="E82" s="41"/>
      <c r="F82" s="41"/>
      <c r="G82" s="41"/>
      <c r="H82" s="41"/>
      <c r="I82" s="41"/>
      <c r="J82" s="42"/>
      <c r="K82" s="43"/>
      <c r="L82" s="43"/>
      <c r="M82" s="44" t="str">
        <f aca="false">IFERROR(IF(OR(K82="",L82="",ISNUMBER(SEARCH("متوسط",I82)),ISNUMBER(SEARCH("ليكرت",G82)),ISNUMBER(SEARCH("نوعي",E82))),"",K82+L82),"")</f>
        <v/>
      </c>
      <c r="N82" s="43"/>
      <c r="O82" s="43"/>
      <c r="P82" s="43"/>
      <c r="Q82" s="43"/>
      <c r="R82" s="43"/>
      <c r="S82" s="43"/>
      <c r="T82" s="43"/>
      <c r="U82" s="43"/>
      <c r="V82" s="44" t="str">
        <f aca="false">IFERROR(IF(COUNT(O82,Q82,S82,U82)=0,"",IF(ISNUMBER(SEARCH("تراكمي",I82)),IF(ISNUMBER(U82),U82,IF(ISNUMBER(S82),S82,IF(ISNUMBER(Q82),Q82,O82))),IF(ISNUMBER(SEARCH("متوسط",I82)),AVERAGE(O82,Q82,S82,U82),IF(AND(ISNUMBER(SEARCH("سنوي",I82)),ISERROR(SEARCH("نصف",I82))),IF(ISNUMBER(U82),U82,""),SUM(O82,Q82,S82,U82))))),"-")</f>
        <v/>
      </c>
      <c r="W82" s="45" t="str">
        <f aca="false">IF(OR(NOT(ISNUMBER(L82)),NOT(ISNUMBER(V82))),"",IFERROR(IF(ISNUMBER(SEARCH("تنازلي",H82)),  IF(V82=0,100,(L82/V82)*100),  (V82/L82)*100),"-"))</f>
        <v/>
      </c>
      <c r="X82" s="45" t="str">
        <f aca="false">IF(AND(ISNUMBER(W82),ISNUMBER(J82)),MIN(W82,100)/100*J82,"")</f>
        <v/>
      </c>
    </row>
    <row r="83" customFormat="false" ht="25.5" hidden="false" customHeight="true" outlineLevel="0" collapsed="false">
      <c r="A83" s="37" t="str">
        <f aca="false">IF(B83="","",COUNTA(B$73:B83)-1)</f>
        <v/>
      </c>
      <c r="B83" s="38"/>
      <c r="C83" s="39"/>
      <c r="D83" s="40" t="str">
        <f aca="false">IFERROR(VLOOKUP($F$3,Data!$A:$B,2,0)&amp;"-L"&amp;TEXT(ROW()-ROW($D$73),"0"),"-L"&amp;TEXT(ROW()-ROW($D$73),"0"))</f>
        <v>ZF-L10</v>
      </c>
      <c r="E83" s="41"/>
      <c r="F83" s="41"/>
      <c r="G83" s="41"/>
      <c r="H83" s="41"/>
      <c r="I83" s="41"/>
      <c r="J83" s="42"/>
      <c r="K83" s="43"/>
      <c r="L83" s="43"/>
      <c r="M83" s="44" t="str">
        <f aca="false">IFERROR(IF(OR(K83="",L83="",ISNUMBER(SEARCH("متوسط",I83)),ISNUMBER(SEARCH("ليكرت",G83)),ISNUMBER(SEARCH("نوعي",E83))),"",K83+L83),"")</f>
        <v/>
      </c>
      <c r="N83" s="43"/>
      <c r="O83" s="43"/>
      <c r="P83" s="43"/>
      <c r="Q83" s="43"/>
      <c r="R83" s="43"/>
      <c r="S83" s="43"/>
      <c r="T83" s="43"/>
      <c r="U83" s="43"/>
      <c r="V83" s="44" t="str">
        <f aca="false">IFERROR(IF(COUNT(O83,Q83,S83,U83)=0,"",IF(ISNUMBER(SEARCH("تراكمي",I83)),IF(ISNUMBER(U83),U83,IF(ISNUMBER(S83),S83,IF(ISNUMBER(Q83),Q83,O83))),IF(ISNUMBER(SEARCH("متوسط",I83)),AVERAGE(O83,Q83,S83,U83),IF(AND(ISNUMBER(SEARCH("سنوي",I83)),ISERROR(SEARCH("نصف",I83))),IF(ISNUMBER(U83),U83,""),SUM(O83,Q83,S83,U83))))),"-")</f>
        <v/>
      </c>
      <c r="W83" s="45" t="str">
        <f aca="false">IF(OR(NOT(ISNUMBER(L83)),NOT(ISNUMBER(V83))),"",IFERROR(IF(ISNUMBER(SEARCH("تنازلي",H83)),  IF(V83=0,100,(L83/V83)*100),  (V83/L83)*100),"-"))</f>
        <v/>
      </c>
      <c r="X83" s="45" t="str">
        <f aca="false">IF(AND(ISNUMBER(W83),ISNUMBER(J83)),MIN(W83,100)/100*J83,"")</f>
        <v/>
      </c>
    </row>
    <row r="84" customFormat="false" ht="25.5" hidden="false" customHeight="true" outlineLevel="0" collapsed="false">
      <c r="A84" s="37" t="str">
        <f aca="false">IF(B84="","",COUNTA(B$73:B84)-1)</f>
        <v/>
      </c>
      <c r="B84" s="38"/>
      <c r="C84" s="39"/>
      <c r="D84" s="40" t="str">
        <f aca="false">IFERROR(VLOOKUP($F$3,Data!$A:$B,2,0)&amp;"-L"&amp;TEXT(ROW()-ROW($D$73),"0"),"-L"&amp;TEXT(ROW()-ROW($D$73),"0"))</f>
        <v>ZF-L11</v>
      </c>
      <c r="E84" s="41"/>
      <c r="F84" s="41"/>
      <c r="G84" s="41"/>
      <c r="H84" s="41"/>
      <c r="I84" s="41"/>
      <c r="J84" s="42"/>
      <c r="K84" s="43"/>
      <c r="L84" s="43"/>
      <c r="M84" s="44" t="str">
        <f aca="false">IFERROR(IF(OR(K84="",L84="",ISNUMBER(SEARCH("متوسط",I84)),ISNUMBER(SEARCH("ليكرت",G84)),ISNUMBER(SEARCH("نوعي",E84))),"",K84+L84),"")</f>
        <v/>
      </c>
      <c r="N84" s="43"/>
      <c r="O84" s="43"/>
      <c r="P84" s="43"/>
      <c r="Q84" s="43"/>
      <c r="R84" s="43"/>
      <c r="S84" s="43"/>
      <c r="T84" s="43"/>
      <c r="U84" s="43"/>
      <c r="V84" s="44" t="str">
        <f aca="false">IFERROR(IF(COUNT(O84,Q84,S84,U84)=0,"",IF(ISNUMBER(SEARCH("تراكمي",I84)),IF(ISNUMBER(U84),U84,IF(ISNUMBER(S84),S84,IF(ISNUMBER(Q84),Q84,O84))),IF(ISNUMBER(SEARCH("متوسط",I84)),AVERAGE(O84,Q84,S84,U84),IF(AND(ISNUMBER(SEARCH("سنوي",I84)),ISERROR(SEARCH("نصف",I84))),IF(ISNUMBER(U84),U84,""),SUM(O84,Q84,S84,U84))))),"-")</f>
        <v/>
      </c>
      <c r="W84" s="45" t="str">
        <f aca="false">IF(OR(NOT(ISNUMBER(L84)),NOT(ISNUMBER(V84))),"",IFERROR(IF(ISNUMBER(SEARCH("تنازلي",H84)),  IF(V84=0,100,(L84/V84)*100),  (V84/L84)*100),"-"))</f>
        <v/>
      </c>
      <c r="X84" s="45" t="str">
        <f aca="false">IF(AND(ISNUMBER(W84),ISNUMBER(J84)),MIN(W84,100)/100*J84,"")</f>
        <v/>
      </c>
    </row>
    <row r="85" customFormat="false" ht="25.5" hidden="false" customHeight="true" outlineLevel="0" collapsed="false">
      <c r="A85" s="37" t="str">
        <f aca="false">IF(B85="","",COUNTA(B$73:B85)-1)</f>
        <v/>
      </c>
      <c r="B85" s="38"/>
      <c r="C85" s="39"/>
      <c r="D85" s="40" t="str">
        <f aca="false">IFERROR(VLOOKUP($F$3,Data!$A:$B,2,0)&amp;"-L"&amp;TEXT(ROW()-ROW($D$73),"0"),"-L"&amp;TEXT(ROW()-ROW($D$73),"0"))</f>
        <v>ZF-L12</v>
      </c>
      <c r="E85" s="41"/>
      <c r="F85" s="41"/>
      <c r="G85" s="41"/>
      <c r="H85" s="41"/>
      <c r="I85" s="41"/>
      <c r="J85" s="42"/>
      <c r="K85" s="43"/>
      <c r="L85" s="43"/>
      <c r="M85" s="44" t="str">
        <f aca="false">IFERROR(IF(OR(K85="",L85="",ISNUMBER(SEARCH("متوسط",I85)),ISNUMBER(SEARCH("ليكرت",G85)),ISNUMBER(SEARCH("نوعي",E85))),"",K85+L85),"")</f>
        <v/>
      </c>
      <c r="N85" s="43"/>
      <c r="O85" s="43"/>
      <c r="P85" s="43"/>
      <c r="Q85" s="43"/>
      <c r="R85" s="43"/>
      <c r="S85" s="43"/>
      <c r="T85" s="43"/>
      <c r="U85" s="43"/>
      <c r="V85" s="44" t="str">
        <f aca="false">IFERROR(IF(COUNT(O85,Q85,S85,U85)=0,"",IF(ISNUMBER(SEARCH("تراكمي",I85)),IF(ISNUMBER(U85),U85,IF(ISNUMBER(S85),S85,IF(ISNUMBER(Q85),Q85,O85))),IF(ISNUMBER(SEARCH("متوسط",I85)),AVERAGE(O85,Q85,S85,U85),IF(AND(ISNUMBER(SEARCH("سنوي",I85)),ISERROR(SEARCH("نصف",I85))),IF(ISNUMBER(U85),U85,""),SUM(O85,Q85,S85,U85))))),"-")</f>
        <v/>
      </c>
      <c r="W85" s="45" t="str">
        <f aca="false">IF(OR(NOT(ISNUMBER(L85)),NOT(ISNUMBER(V85))),"",IFERROR(IF(ISNUMBER(SEARCH("تنازلي",H85)),  IF(V85=0,100,(L85/V85)*100),  (V85/L85)*100),"-"))</f>
        <v/>
      </c>
      <c r="X85" s="45" t="str">
        <f aca="false">IF(AND(ISNUMBER(W85),ISNUMBER(J85)),MIN(W85,100)/100*J85,"")</f>
        <v/>
      </c>
    </row>
    <row r="86" customFormat="false" ht="25.5" hidden="false" customHeight="true" outlineLevel="0" collapsed="false">
      <c r="A86" s="37" t="str">
        <f aca="false">IF(B86="","",COUNTA(B$73:B86)-1)</f>
        <v/>
      </c>
      <c r="B86" s="38"/>
      <c r="C86" s="39"/>
      <c r="D86" s="40" t="str">
        <f aca="false">IFERROR(VLOOKUP($F$3,Data!$A:$B,2,0)&amp;"-L"&amp;TEXT(ROW()-ROW($D$73),"0"),"-L"&amp;TEXT(ROW()-ROW($D$73),"0"))</f>
        <v>ZF-L13</v>
      </c>
      <c r="E86" s="41"/>
      <c r="F86" s="41"/>
      <c r="G86" s="41"/>
      <c r="H86" s="41"/>
      <c r="I86" s="41"/>
      <c r="J86" s="42"/>
      <c r="K86" s="43"/>
      <c r="L86" s="43"/>
      <c r="M86" s="44" t="str">
        <f aca="false">IFERROR(IF(OR(K86="",L86="",ISNUMBER(SEARCH("متوسط",I86)),ISNUMBER(SEARCH("ليكرت",G86)),ISNUMBER(SEARCH("نوعي",E86))),"",K86+L86),"")</f>
        <v/>
      </c>
      <c r="N86" s="43"/>
      <c r="O86" s="43"/>
      <c r="P86" s="43"/>
      <c r="Q86" s="43"/>
      <c r="R86" s="43"/>
      <c r="S86" s="43"/>
      <c r="T86" s="43"/>
      <c r="U86" s="43"/>
      <c r="V86" s="44" t="str">
        <f aca="false">IFERROR(IF(COUNT(O86,Q86,S86,U86)=0,"",IF(ISNUMBER(SEARCH("تراكمي",I86)),IF(ISNUMBER(U86),U86,IF(ISNUMBER(S86),S86,IF(ISNUMBER(Q86),Q86,O86))),IF(ISNUMBER(SEARCH("متوسط",I86)),AVERAGE(O86,Q86,S86,U86),IF(AND(ISNUMBER(SEARCH("سنوي",I86)),ISERROR(SEARCH("نصف",I86))),IF(ISNUMBER(U86),U86,""),SUM(O86,Q86,S86,U86))))),"-")</f>
        <v/>
      </c>
      <c r="W86" s="45" t="str">
        <f aca="false">IF(OR(NOT(ISNUMBER(L86)),NOT(ISNUMBER(V86))),"",IFERROR(IF(ISNUMBER(SEARCH("تنازلي",H86)),  IF(V86=0,100,(L86/V86)*100),  (V86/L86)*100),"-"))</f>
        <v/>
      </c>
      <c r="X86" s="45" t="str">
        <f aca="false">IF(AND(ISNUMBER(W86),ISNUMBER(J86)),MIN(W86,100)/100*J86,"")</f>
        <v/>
      </c>
    </row>
    <row r="87" customFormat="false" ht="25.5" hidden="false" customHeight="true" outlineLevel="0" collapsed="false">
      <c r="A87" s="37" t="str">
        <f aca="false">IF(B87="","",COUNTA(B$73:B87)-1)</f>
        <v/>
      </c>
      <c r="B87" s="38"/>
      <c r="C87" s="39"/>
      <c r="D87" s="40" t="str">
        <f aca="false">IFERROR(VLOOKUP($F$3,Data!$A:$B,2,0)&amp;"-L"&amp;TEXT(ROW()-ROW($D$73),"0"),"-L"&amp;TEXT(ROW()-ROW($D$73),"0"))</f>
        <v>ZF-L14</v>
      </c>
      <c r="E87" s="41"/>
      <c r="F87" s="41"/>
      <c r="G87" s="41"/>
      <c r="H87" s="41"/>
      <c r="I87" s="41"/>
      <c r="J87" s="42"/>
      <c r="K87" s="43"/>
      <c r="L87" s="43"/>
      <c r="M87" s="44" t="str">
        <f aca="false">IFERROR(IF(OR(K87="",L87="",ISNUMBER(SEARCH("متوسط",I87)),ISNUMBER(SEARCH("ليكرت",G87)),ISNUMBER(SEARCH("نوعي",E87))),"",K87+L87),"")</f>
        <v/>
      </c>
      <c r="N87" s="43"/>
      <c r="O87" s="43"/>
      <c r="P87" s="43"/>
      <c r="Q87" s="43"/>
      <c r="R87" s="43"/>
      <c r="S87" s="43"/>
      <c r="T87" s="43"/>
      <c r="U87" s="43"/>
      <c r="V87" s="44" t="str">
        <f aca="false">IFERROR(IF(COUNT(O87,Q87,S87,U87)=0,"",IF(ISNUMBER(SEARCH("تراكمي",I87)),IF(ISNUMBER(U87),U87,IF(ISNUMBER(S87),S87,IF(ISNUMBER(Q87),Q87,O87))),IF(ISNUMBER(SEARCH("متوسط",I87)),AVERAGE(O87,Q87,S87,U87),IF(AND(ISNUMBER(SEARCH("سنوي",I87)),ISERROR(SEARCH("نصف",I87))),IF(ISNUMBER(U87),U87,""),SUM(O87,Q87,S87,U87))))),"-")</f>
        <v/>
      </c>
      <c r="W87" s="45" t="str">
        <f aca="false">IF(OR(NOT(ISNUMBER(L87)),NOT(ISNUMBER(V87))),"",IFERROR(IF(ISNUMBER(SEARCH("تنازلي",H87)),  IF(V87=0,100,(L87/V87)*100),  (V87/L87)*100),"-"))</f>
        <v/>
      </c>
      <c r="X87" s="45" t="str">
        <f aca="false">IF(AND(ISNUMBER(W87),ISNUMBER(J87)),MIN(W87,100)/100*J87,"")</f>
        <v/>
      </c>
    </row>
    <row r="88" customFormat="false" ht="25.5" hidden="false" customHeight="true" outlineLevel="0" collapsed="false">
      <c r="A88" s="37" t="str">
        <f aca="false">IF(B88="","",COUNTA(B$73:B88)-1)</f>
        <v/>
      </c>
      <c r="B88" s="38"/>
      <c r="C88" s="39"/>
      <c r="D88" s="40" t="str">
        <f aca="false">IFERROR(VLOOKUP($F$3,Data!$A:$B,2,0)&amp;"-L"&amp;TEXT(ROW()-ROW($D$73),"0"),"-L"&amp;TEXT(ROW()-ROW($D$73),"0"))</f>
        <v>ZF-L15</v>
      </c>
      <c r="E88" s="41"/>
      <c r="F88" s="41"/>
      <c r="G88" s="41"/>
      <c r="H88" s="41"/>
      <c r="I88" s="41"/>
      <c r="J88" s="42"/>
      <c r="K88" s="43"/>
      <c r="L88" s="43"/>
      <c r="M88" s="44" t="str">
        <f aca="false">IFERROR(IF(OR(K88="",L88="",ISNUMBER(SEARCH("متوسط",I88)),ISNUMBER(SEARCH("ليكرت",G88)),ISNUMBER(SEARCH("نوعي",E88))),"",K88+L88),"")</f>
        <v/>
      </c>
      <c r="N88" s="43"/>
      <c r="O88" s="43"/>
      <c r="P88" s="43"/>
      <c r="Q88" s="43"/>
      <c r="R88" s="43"/>
      <c r="S88" s="43"/>
      <c r="T88" s="43"/>
      <c r="U88" s="43"/>
      <c r="V88" s="44" t="str">
        <f aca="false">IFERROR(IF(COUNT(O88,Q88,S88,U88)=0,"",IF(ISNUMBER(SEARCH("تراكمي",I88)),IF(ISNUMBER(U88),U88,IF(ISNUMBER(S88),S88,IF(ISNUMBER(Q88),Q88,O88))),IF(ISNUMBER(SEARCH("متوسط",I88)),AVERAGE(O88,Q88,S88,U88),IF(AND(ISNUMBER(SEARCH("سنوي",I88)),ISERROR(SEARCH("نصف",I88))),IF(ISNUMBER(U88),U88,""),SUM(O88,Q88,S88,U88))))),"-")</f>
        <v/>
      </c>
      <c r="W88" s="45" t="str">
        <f aca="false">IF(OR(NOT(ISNUMBER(L88)),NOT(ISNUMBER(V88))),"",IFERROR(IF(ISNUMBER(SEARCH("تنازلي",H88)),  IF(V88=0,100,(L88/V88)*100),  (V88/L88)*100),"-"))</f>
        <v/>
      </c>
      <c r="X88" s="45" t="str">
        <f aca="false">IF(AND(ISNUMBER(W88),ISNUMBER(J88)),MIN(W88,100)/100*J88,"")</f>
        <v/>
      </c>
    </row>
    <row r="89" customFormat="false" ht="25.5" hidden="false" customHeight="true" outlineLevel="0" collapsed="false">
      <c r="A89" s="37" t="str">
        <f aca="false">IF(B89="","",COUNTA(B$73:B89)-1)</f>
        <v/>
      </c>
      <c r="B89" s="38"/>
      <c r="C89" s="39"/>
      <c r="D89" s="40" t="str">
        <f aca="false">IFERROR(VLOOKUP($F$3,Data!$A:$B,2,0)&amp;"-L"&amp;TEXT(ROW()-ROW($D$73),"0"),"-L"&amp;TEXT(ROW()-ROW($D$73),"0"))</f>
        <v>ZF-L16</v>
      </c>
      <c r="E89" s="41"/>
      <c r="F89" s="41"/>
      <c r="G89" s="41"/>
      <c r="H89" s="41"/>
      <c r="I89" s="41"/>
      <c r="J89" s="42"/>
      <c r="K89" s="43"/>
      <c r="L89" s="43"/>
      <c r="M89" s="44" t="str">
        <f aca="false">IFERROR(IF(OR(K89="",L89="",ISNUMBER(SEARCH("متوسط",I89)),ISNUMBER(SEARCH("ليكرت",G89)),ISNUMBER(SEARCH("نوعي",E89))),"",K89+L89),"")</f>
        <v/>
      </c>
      <c r="N89" s="43"/>
      <c r="O89" s="43"/>
      <c r="P89" s="43"/>
      <c r="Q89" s="43"/>
      <c r="R89" s="43"/>
      <c r="S89" s="43"/>
      <c r="T89" s="43"/>
      <c r="U89" s="43"/>
      <c r="V89" s="44" t="str">
        <f aca="false">IFERROR(IF(COUNT(O89,Q89,S89,U89)=0,"",IF(ISNUMBER(SEARCH("تراكمي",I89)),IF(ISNUMBER(U89),U89,IF(ISNUMBER(S89),S89,IF(ISNUMBER(Q89),Q89,O89))),IF(ISNUMBER(SEARCH("متوسط",I89)),AVERAGE(O89,Q89,S89,U89),IF(AND(ISNUMBER(SEARCH("سنوي",I89)),ISERROR(SEARCH("نصف",I89))),IF(ISNUMBER(U89),U89,""),SUM(O89,Q89,S89,U89))))),"-")</f>
        <v/>
      </c>
      <c r="W89" s="45" t="str">
        <f aca="false">IF(OR(NOT(ISNUMBER(L89)),NOT(ISNUMBER(V89))),"",IFERROR(IF(ISNUMBER(SEARCH("تنازلي",H89)),  IF(V89=0,100,(L89/V89)*100),  (V89/L89)*100),"-"))</f>
        <v/>
      </c>
      <c r="X89" s="45" t="str">
        <f aca="false">IF(AND(ISNUMBER(W89),ISNUMBER(J89)),MIN(W89,100)/100*J89,"")</f>
        <v/>
      </c>
    </row>
    <row r="90" customFormat="false" ht="25.5" hidden="false" customHeight="true" outlineLevel="0" collapsed="false">
      <c r="A90" s="37" t="str">
        <f aca="false">IF(B90="","",COUNTA(B$73:B90)-1)</f>
        <v/>
      </c>
      <c r="B90" s="38"/>
      <c r="C90" s="39"/>
      <c r="D90" s="40" t="str">
        <f aca="false">IFERROR(VLOOKUP($F$3,Data!$A:$B,2,0)&amp;"-L"&amp;TEXT(ROW()-ROW($D$73),"0"),"-L"&amp;TEXT(ROW()-ROW($D$73),"0"))</f>
        <v>ZF-L17</v>
      </c>
      <c r="E90" s="41"/>
      <c r="F90" s="41"/>
      <c r="G90" s="41"/>
      <c r="H90" s="41"/>
      <c r="I90" s="41"/>
      <c r="J90" s="42"/>
      <c r="K90" s="43"/>
      <c r="L90" s="43"/>
      <c r="M90" s="44" t="str">
        <f aca="false">IFERROR(IF(OR(K90="",L90="",ISNUMBER(SEARCH("متوسط",I90)),ISNUMBER(SEARCH("ليكرت",G90)),ISNUMBER(SEARCH("نوعي",E90))),"",K90+L90),"")</f>
        <v/>
      </c>
      <c r="N90" s="43"/>
      <c r="O90" s="43"/>
      <c r="P90" s="43"/>
      <c r="Q90" s="43"/>
      <c r="R90" s="43"/>
      <c r="S90" s="43"/>
      <c r="T90" s="43"/>
      <c r="U90" s="43"/>
      <c r="V90" s="44" t="str">
        <f aca="false">IFERROR(IF(COUNT(O90,Q90,S90,U90)=0,"",IF(ISNUMBER(SEARCH("تراكمي",I90)),IF(ISNUMBER(U90),U90,IF(ISNUMBER(S90),S90,IF(ISNUMBER(Q90),Q90,O90))),IF(ISNUMBER(SEARCH("متوسط",I90)),AVERAGE(O90,Q90,S90,U90),IF(AND(ISNUMBER(SEARCH("سنوي",I90)),ISERROR(SEARCH("نصف",I90))),IF(ISNUMBER(U90),U90,""),SUM(O90,Q90,S90,U90))))),"-")</f>
        <v/>
      </c>
      <c r="W90" s="45" t="str">
        <f aca="false">IF(OR(NOT(ISNUMBER(L90)),NOT(ISNUMBER(V90))),"",IFERROR(IF(ISNUMBER(SEARCH("تنازلي",H90)),  IF(V90=0,100,(L90/V90)*100),  (V90/L90)*100),"-"))</f>
        <v/>
      </c>
      <c r="X90" s="45" t="str">
        <f aca="false">IF(AND(ISNUMBER(W90),ISNUMBER(J90)),MIN(W90,100)/100*J90,"")</f>
        <v/>
      </c>
    </row>
    <row r="91" customFormat="false" ht="25.5" hidden="false" customHeight="true" outlineLevel="0" collapsed="false">
      <c r="A91" s="37" t="str">
        <f aca="false">IF(B91="","",COUNTA(B$73:B91)-1)</f>
        <v/>
      </c>
      <c r="B91" s="38"/>
      <c r="C91" s="39"/>
      <c r="D91" s="40" t="str">
        <f aca="false">IFERROR(VLOOKUP($F$3,Data!$A:$B,2,0)&amp;"-L"&amp;TEXT(ROW()-ROW($D$73),"0"),"-L"&amp;TEXT(ROW()-ROW($D$73),"0"))</f>
        <v>ZF-L18</v>
      </c>
      <c r="E91" s="41"/>
      <c r="F91" s="41"/>
      <c r="G91" s="41"/>
      <c r="H91" s="41"/>
      <c r="I91" s="41"/>
      <c r="J91" s="42"/>
      <c r="K91" s="43"/>
      <c r="L91" s="43"/>
      <c r="M91" s="44" t="str">
        <f aca="false">IFERROR(IF(OR(K91="",L91="",ISNUMBER(SEARCH("متوسط",I91)),ISNUMBER(SEARCH("ليكرت",G91)),ISNUMBER(SEARCH("نوعي",E91))),"",K91+L91),"")</f>
        <v/>
      </c>
      <c r="N91" s="43"/>
      <c r="O91" s="43"/>
      <c r="P91" s="43"/>
      <c r="Q91" s="43"/>
      <c r="R91" s="43"/>
      <c r="S91" s="43"/>
      <c r="T91" s="43"/>
      <c r="U91" s="43"/>
      <c r="V91" s="44" t="str">
        <f aca="false">IFERROR(IF(COUNT(O91,Q91,S91,U91)=0,"",IF(ISNUMBER(SEARCH("تراكمي",I91)),IF(ISNUMBER(U91),U91,IF(ISNUMBER(S91),S91,IF(ISNUMBER(Q91),Q91,O91))),IF(ISNUMBER(SEARCH("متوسط",I91)),AVERAGE(O91,Q91,S91,U91),IF(AND(ISNUMBER(SEARCH("سنوي",I91)),ISERROR(SEARCH("نصف",I91))),IF(ISNUMBER(U91),U91,""),SUM(O91,Q91,S91,U91))))),"-")</f>
        <v/>
      </c>
      <c r="W91" s="45" t="str">
        <f aca="false">IF(OR(NOT(ISNUMBER(L91)),NOT(ISNUMBER(V91))),"",IFERROR(IF(ISNUMBER(SEARCH("تنازلي",H91)),  IF(V91=0,100,(L91/V91)*100),  (V91/L91)*100),"-"))</f>
        <v/>
      </c>
      <c r="X91" s="45" t="str">
        <f aca="false">IF(AND(ISNUMBER(W91),ISNUMBER(J91)),MIN(W91,100)/100*J91,"")</f>
        <v/>
      </c>
    </row>
    <row r="92" customFormat="false" ht="25.5" hidden="false" customHeight="true" outlineLevel="0" collapsed="false">
      <c r="A92" s="37" t="str">
        <f aca="false">IF(B92="","",COUNTA(B$73:B92)-1)</f>
        <v/>
      </c>
      <c r="B92" s="38"/>
      <c r="C92" s="39"/>
      <c r="D92" s="40" t="str">
        <f aca="false">IFERROR(VLOOKUP($F$3,Data!$A:$B,2,0)&amp;"-L"&amp;TEXT(ROW()-ROW($D$73),"0"),"-L"&amp;TEXT(ROW()-ROW($D$73),"0"))</f>
        <v>ZF-L19</v>
      </c>
      <c r="E92" s="41"/>
      <c r="F92" s="41"/>
      <c r="G92" s="41"/>
      <c r="H92" s="41"/>
      <c r="I92" s="41"/>
      <c r="J92" s="42"/>
      <c r="K92" s="43"/>
      <c r="L92" s="43"/>
      <c r="M92" s="44" t="str">
        <f aca="false">IFERROR(IF(OR(K92="",L92="",ISNUMBER(SEARCH("متوسط",I92)),ISNUMBER(SEARCH("ليكرت",G92)),ISNUMBER(SEARCH("نوعي",E92))),"",K92+L92),"")</f>
        <v/>
      </c>
      <c r="N92" s="43"/>
      <c r="O92" s="43"/>
      <c r="P92" s="43"/>
      <c r="Q92" s="43"/>
      <c r="R92" s="43"/>
      <c r="S92" s="43"/>
      <c r="T92" s="43"/>
      <c r="U92" s="43"/>
      <c r="V92" s="44" t="str">
        <f aca="false">IFERROR(IF(COUNT(O92,Q92,S92,U92)=0,"",IF(ISNUMBER(SEARCH("تراكمي",I92)),IF(ISNUMBER(U92),U92,IF(ISNUMBER(S92),S92,IF(ISNUMBER(Q92),Q92,O92))),IF(ISNUMBER(SEARCH("متوسط",I92)),AVERAGE(O92,Q92,S92,U92),IF(AND(ISNUMBER(SEARCH("سنوي",I92)),ISERROR(SEARCH("نصف",I92))),IF(ISNUMBER(U92),U92,""),SUM(O92,Q92,S92,U92))))),"-")</f>
        <v/>
      </c>
      <c r="W92" s="45" t="str">
        <f aca="false">IF(OR(NOT(ISNUMBER(L92)),NOT(ISNUMBER(V92))),"",IFERROR(IF(ISNUMBER(SEARCH("تنازلي",H92)),  IF(V92=0,100,(L92/V92)*100),  (V92/L92)*100),"-"))</f>
        <v/>
      </c>
      <c r="X92" s="45" t="str">
        <f aca="false">IF(AND(ISNUMBER(W92),ISNUMBER(J92)),MIN(W92,100)/100*J92,"")</f>
        <v/>
      </c>
    </row>
    <row r="93" customFormat="false" ht="25.5" hidden="false" customHeight="true" outlineLevel="0" collapsed="false">
      <c r="A93" s="37" t="str">
        <f aca="false">IF(B93="","",COUNTA(B$73:B93)-1)</f>
        <v/>
      </c>
      <c r="B93" s="38"/>
      <c r="C93" s="39"/>
      <c r="D93" s="40" t="str">
        <f aca="false">IFERROR(VLOOKUP($F$3,Data!$A:$B,2,0)&amp;"-L"&amp;TEXT(ROW()-ROW($D$73),"0"),"-L"&amp;TEXT(ROW()-ROW($D$73),"0"))</f>
        <v>ZF-L20</v>
      </c>
      <c r="E93" s="41"/>
      <c r="F93" s="41"/>
      <c r="G93" s="41"/>
      <c r="H93" s="41"/>
      <c r="I93" s="41"/>
      <c r="J93" s="42"/>
      <c r="K93" s="43"/>
      <c r="L93" s="43"/>
      <c r="M93" s="44" t="str">
        <f aca="false">IFERROR(IF(OR(K93="",L93="",ISNUMBER(SEARCH("متوسط",I93)),ISNUMBER(SEARCH("ليكرت",G93)),ISNUMBER(SEARCH("نوعي",E93))),"",K93+L93),"")</f>
        <v/>
      </c>
      <c r="N93" s="43"/>
      <c r="O93" s="43"/>
      <c r="P93" s="43"/>
      <c r="Q93" s="43"/>
      <c r="R93" s="43"/>
      <c r="S93" s="43"/>
      <c r="T93" s="43"/>
      <c r="U93" s="43"/>
      <c r="V93" s="44" t="str">
        <f aca="false">IFERROR(IF(COUNT(O93,Q93,S93,U93)=0,"",IF(ISNUMBER(SEARCH("تراكمي",I93)),IF(ISNUMBER(U93),U93,IF(ISNUMBER(S93),S93,IF(ISNUMBER(Q93),Q93,O93))),IF(ISNUMBER(SEARCH("متوسط",I93)),AVERAGE(O93,Q93,S93,U93),IF(AND(ISNUMBER(SEARCH("سنوي",I93)),ISERROR(SEARCH("نصف",I93))),IF(ISNUMBER(U93),U93,""),SUM(O93,Q93,S93,U93))))),"-")</f>
        <v/>
      </c>
      <c r="W93" s="45" t="str">
        <f aca="false">IF(OR(NOT(ISNUMBER(L93)),NOT(ISNUMBER(V93))),"",IFERROR(IF(ISNUMBER(SEARCH("تنازلي",H93)),  IF(V93=0,100,(L93/V93)*100),  (V93/L93)*100),"-"))</f>
        <v/>
      </c>
      <c r="X93" s="45" t="str">
        <f aca="false">IF(AND(ISNUMBER(W93),ISNUMBER(J93)),MIN(W93,100)/100*J93,"")</f>
        <v/>
      </c>
    </row>
    <row r="94" customFormat="false" ht="25.5" hidden="false" customHeight="true" outlineLevel="0" collapsed="false">
      <c r="A94" s="37" t="str">
        <f aca="false">IF(B94="","",COUNTA(B$73:B94)-1)</f>
        <v/>
      </c>
      <c r="B94" s="38"/>
      <c r="C94" s="39"/>
      <c r="D94" s="40" t="str">
        <f aca="false">IFERROR(VLOOKUP($F$3,Data!$A:$B,2,0)&amp;"-L"&amp;TEXT(ROW()-ROW($D$73),"0"),"-L"&amp;TEXT(ROW()-ROW($D$73),"0"))</f>
        <v>ZF-L21</v>
      </c>
      <c r="E94" s="41"/>
      <c r="F94" s="41"/>
      <c r="G94" s="41"/>
      <c r="H94" s="41"/>
      <c r="I94" s="41"/>
      <c r="J94" s="42"/>
      <c r="K94" s="43"/>
      <c r="L94" s="43"/>
      <c r="M94" s="44" t="str">
        <f aca="false">IFERROR(IF(OR(K94="",L94="",ISNUMBER(SEARCH("متوسط",I94)),ISNUMBER(SEARCH("ليكرت",G94)),ISNUMBER(SEARCH("نوعي",E94))),"",K94+L94),"")</f>
        <v/>
      </c>
      <c r="N94" s="43"/>
      <c r="O94" s="43"/>
      <c r="P94" s="43"/>
      <c r="Q94" s="43"/>
      <c r="R94" s="43"/>
      <c r="S94" s="43"/>
      <c r="T94" s="43"/>
      <c r="U94" s="43"/>
      <c r="V94" s="44" t="str">
        <f aca="false">IFERROR(IF(COUNT(O94,Q94,S94,U94)=0,"",IF(ISNUMBER(SEARCH("تراكمي",I94)),IF(ISNUMBER(U94),U94,IF(ISNUMBER(S94),S94,IF(ISNUMBER(Q94),Q94,O94))),IF(ISNUMBER(SEARCH("متوسط",I94)),AVERAGE(O94,Q94,S94,U94),IF(AND(ISNUMBER(SEARCH("سنوي",I94)),ISERROR(SEARCH("نصف",I94))),IF(ISNUMBER(U94),U94,""),SUM(O94,Q94,S94,U94))))),"-")</f>
        <v/>
      </c>
      <c r="W94" s="45" t="str">
        <f aca="false">IF(OR(NOT(ISNUMBER(L94)),NOT(ISNUMBER(V94))),"",IFERROR(IF(ISNUMBER(SEARCH("تنازلي",H94)),  IF(V94=0,100,(L94/V94)*100),  (V94/L94)*100),"-"))</f>
        <v/>
      </c>
      <c r="X94" s="45" t="str">
        <f aca="false">IF(AND(ISNUMBER(W94),ISNUMBER(J94)),MIN(W94,100)/100*J94,"")</f>
        <v/>
      </c>
    </row>
    <row r="95" customFormat="false" ht="25.5" hidden="false" customHeight="true" outlineLevel="0" collapsed="false">
      <c r="A95" s="37" t="str">
        <f aca="false">IF(B95="","",COUNTA(B$73:B95)-1)</f>
        <v/>
      </c>
      <c r="B95" s="38"/>
      <c r="C95" s="39"/>
      <c r="D95" s="40" t="str">
        <f aca="false">IFERROR(VLOOKUP($F$3,Data!$A:$B,2,0)&amp;"-L"&amp;TEXT(ROW()-ROW($D$73),"0"),"-L"&amp;TEXT(ROW()-ROW($D$73),"0"))</f>
        <v>ZF-L22</v>
      </c>
      <c r="E95" s="41"/>
      <c r="F95" s="41"/>
      <c r="G95" s="41"/>
      <c r="H95" s="41"/>
      <c r="I95" s="41"/>
      <c r="J95" s="42"/>
      <c r="K95" s="43"/>
      <c r="L95" s="43"/>
      <c r="M95" s="44" t="str">
        <f aca="false">IFERROR(IF(OR(K95="",L95="",ISNUMBER(SEARCH("متوسط",I95)),ISNUMBER(SEARCH("ليكرت",G95)),ISNUMBER(SEARCH("نوعي",E95))),"",K95+L95),"")</f>
        <v/>
      </c>
      <c r="N95" s="43"/>
      <c r="O95" s="43"/>
      <c r="P95" s="43"/>
      <c r="Q95" s="43"/>
      <c r="R95" s="43"/>
      <c r="S95" s="43"/>
      <c r="T95" s="43"/>
      <c r="U95" s="43"/>
      <c r="V95" s="44" t="str">
        <f aca="false">IFERROR(IF(COUNT(O95,Q95,S95,U95)=0,"",IF(ISNUMBER(SEARCH("تراكمي",I95)),IF(ISNUMBER(U95),U95,IF(ISNUMBER(S95),S95,IF(ISNUMBER(Q95),Q95,O95))),IF(ISNUMBER(SEARCH("متوسط",I95)),AVERAGE(O95,Q95,S95,U95),IF(AND(ISNUMBER(SEARCH("سنوي",I95)),ISERROR(SEARCH("نصف",I95))),IF(ISNUMBER(U95),U95,""),SUM(O95,Q95,S95,U95))))),"-")</f>
        <v/>
      </c>
      <c r="W95" s="45" t="str">
        <f aca="false">IF(OR(NOT(ISNUMBER(L95)),NOT(ISNUMBER(V95))),"",IFERROR(IF(ISNUMBER(SEARCH("تنازلي",H95)),  IF(V95=0,100,(L95/V95)*100),  (V95/L95)*100),"-"))</f>
        <v/>
      </c>
      <c r="X95" s="45" t="str">
        <f aca="false">IF(AND(ISNUMBER(W95),ISNUMBER(J95)),MIN(W95,100)/100*J95,"")</f>
        <v/>
      </c>
    </row>
    <row r="96" customFormat="false" ht="25.5" hidden="false" customHeight="true" outlineLevel="0" collapsed="false">
      <c r="A96" s="37" t="str">
        <f aca="false">IF(B96="","",COUNTA(B$73:B96)-1)</f>
        <v/>
      </c>
      <c r="B96" s="38"/>
      <c r="C96" s="39"/>
      <c r="D96" s="40" t="str">
        <f aca="false">IFERROR(VLOOKUP($F$3,Data!$A:$B,2,0)&amp;"-L"&amp;TEXT(ROW()-ROW($D$73),"0"),"-L"&amp;TEXT(ROW()-ROW($D$73),"0"))</f>
        <v>ZF-L23</v>
      </c>
      <c r="E96" s="41"/>
      <c r="F96" s="41"/>
      <c r="G96" s="41"/>
      <c r="H96" s="41"/>
      <c r="I96" s="41"/>
      <c r="J96" s="42"/>
      <c r="K96" s="43"/>
      <c r="L96" s="43"/>
      <c r="M96" s="44" t="str">
        <f aca="false">IFERROR(IF(OR(K96="",L96="",ISNUMBER(SEARCH("متوسط",I96)),ISNUMBER(SEARCH("ليكرت",G96)),ISNUMBER(SEARCH("نوعي",E96))),"",K96+L96),"")</f>
        <v/>
      </c>
      <c r="N96" s="43"/>
      <c r="O96" s="43"/>
      <c r="P96" s="43"/>
      <c r="Q96" s="43"/>
      <c r="R96" s="43"/>
      <c r="S96" s="43"/>
      <c r="T96" s="43"/>
      <c r="U96" s="43"/>
      <c r="V96" s="44" t="str">
        <f aca="false">IFERROR(IF(COUNT(O96,Q96,S96,U96)=0,"",IF(ISNUMBER(SEARCH("تراكمي",I96)),IF(ISNUMBER(U96),U96,IF(ISNUMBER(S96),S96,IF(ISNUMBER(Q96),Q96,O96))),IF(ISNUMBER(SEARCH("متوسط",I96)),AVERAGE(O96,Q96,S96,U96),IF(AND(ISNUMBER(SEARCH("سنوي",I96)),ISERROR(SEARCH("نصف",I96))),IF(ISNUMBER(U96),U96,""),SUM(O96,Q96,S96,U96))))),"-")</f>
        <v/>
      </c>
      <c r="W96" s="45" t="str">
        <f aca="false">IF(OR(NOT(ISNUMBER(L96)),NOT(ISNUMBER(V96))),"",IFERROR(IF(ISNUMBER(SEARCH("تنازلي",H96)),  IF(V96=0,100,(L96/V96)*100),  (V96/L96)*100),"-"))</f>
        <v/>
      </c>
      <c r="X96" s="45" t="str">
        <f aca="false">IF(AND(ISNUMBER(W96),ISNUMBER(J96)),MIN(W96,100)/100*J96,"")</f>
        <v/>
      </c>
    </row>
    <row r="97" customFormat="false" ht="25.5" hidden="false" customHeight="true" outlineLevel="0" collapsed="false">
      <c r="A97" s="37" t="str">
        <f aca="false">IF(B97="","",COUNTA(B$73:B97)-1)</f>
        <v/>
      </c>
      <c r="B97" s="38"/>
      <c r="C97" s="39"/>
      <c r="D97" s="40" t="str">
        <f aca="false">IFERROR(VLOOKUP($F$3,Data!$A:$B,2,0)&amp;"-L"&amp;TEXT(ROW()-ROW($D$73),"0"),"-L"&amp;TEXT(ROW()-ROW($D$73),"0"))</f>
        <v>ZF-L24</v>
      </c>
      <c r="E97" s="41"/>
      <c r="F97" s="41"/>
      <c r="G97" s="41"/>
      <c r="H97" s="41"/>
      <c r="I97" s="41"/>
      <c r="J97" s="42"/>
      <c r="K97" s="43"/>
      <c r="L97" s="43"/>
      <c r="M97" s="44" t="str">
        <f aca="false">IFERROR(IF(OR(K97="",L97="",ISNUMBER(SEARCH("متوسط",I97)),ISNUMBER(SEARCH("ليكرت",G97)),ISNUMBER(SEARCH("نوعي",E97))),"",K97+L97),"")</f>
        <v/>
      </c>
      <c r="N97" s="43"/>
      <c r="O97" s="43"/>
      <c r="P97" s="43"/>
      <c r="Q97" s="43"/>
      <c r="R97" s="43"/>
      <c r="S97" s="43"/>
      <c r="T97" s="43"/>
      <c r="U97" s="43"/>
      <c r="V97" s="44" t="str">
        <f aca="false">IFERROR(IF(COUNT(O97,Q97,S97,U97)=0,"",IF(ISNUMBER(SEARCH("تراكمي",I97)),IF(ISNUMBER(U97),U97,IF(ISNUMBER(S97),S97,IF(ISNUMBER(Q97),Q97,O97))),IF(ISNUMBER(SEARCH("متوسط",I97)),AVERAGE(O97,Q97,S97,U97),IF(AND(ISNUMBER(SEARCH("سنوي",I97)),ISERROR(SEARCH("نصف",I97))),IF(ISNUMBER(U97),U97,""),SUM(O97,Q97,S97,U97))))),"-")</f>
        <v/>
      </c>
      <c r="W97" s="45" t="str">
        <f aca="false">IF(OR(NOT(ISNUMBER(L97)),NOT(ISNUMBER(V97))),"",IFERROR(IF(ISNUMBER(SEARCH("تنازلي",H97)),  IF(V97=0,100,(L97/V97)*100),  (V97/L97)*100),"-"))</f>
        <v/>
      </c>
      <c r="X97" s="45" t="str">
        <f aca="false">IF(AND(ISNUMBER(W97),ISNUMBER(J97)),MIN(W97,100)/100*J97,"")</f>
        <v/>
      </c>
    </row>
    <row r="98" customFormat="false" ht="25.5" hidden="false" customHeight="true" outlineLevel="0" collapsed="false">
      <c r="A98" s="37" t="str">
        <f aca="false">IF(B98="","",COUNTA(B$73:B98)-1)</f>
        <v/>
      </c>
      <c r="B98" s="38"/>
      <c r="C98" s="39"/>
      <c r="D98" s="40" t="str">
        <f aca="false">IFERROR(VLOOKUP($F$3,Data!$A:$B,2,0)&amp;"-L"&amp;TEXT(ROW()-ROW($D$73),"0"),"-L"&amp;TEXT(ROW()-ROW($D$73),"0"))</f>
        <v>ZF-L25</v>
      </c>
      <c r="E98" s="41"/>
      <c r="F98" s="41"/>
      <c r="G98" s="41"/>
      <c r="H98" s="41"/>
      <c r="I98" s="41"/>
      <c r="J98" s="42"/>
      <c r="K98" s="43"/>
      <c r="L98" s="43"/>
      <c r="M98" s="44" t="str">
        <f aca="false">IFERROR(IF(OR(K98="",L98="",ISNUMBER(SEARCH("متوسط",I98)),ISNUMBER(SEARCH("ليكرت",G98)),ISNUMBER(SEARCH("نوعي",E98))),"",K98+L98),"")</f>
        <v/>
      </c>
      <c r="N98" s="43"/>
      <c r="O98" s="43"/>
      <c r="P98" s="43"/>
      <c r="Q98" s="43"/>
      <c r="R98" s="43"/>
      <c r="S98" s="43"/>
      <c r="T98" s="43"/>
      <c r="U98" s="43"/>
      <c r="V98" s="44" t="str">
        <f aca="false">IFERROR(IF(COUNT(O98,Q98,S98,U98)=0,"",IF(ISNUMBER(SEARCH("تراكمي",I98)),IF(ISNUMBER(U98),U98,IF(ISNUMBER(S98),S98,IF(ISNUMBER(Q98),Q98,O98))),IF(ISNUMBER(SEARCH("متوسط",I98)),AVERAGE(O98,Q98,S98,U98),IF(AND(ISNUMBER(SEARCH("سنوي",I98)),ISERROR(SEARCH("نصف",I98))),IF(ISNUMBER(U98),U98,""),SUM(O98,Q98,S98,U98))))),"-")</f>
        <v/>
      </c>
      <c r="W98" s="45" t="str">
        <f aca="false">IF(OR(NOT(ISNUMBER(L98)),NOT(ISNUMBER(V98))),"",IFERROR(IF(ISNUMBER(SEARCH("تنازلي",H98)),  IF(V98=0,100,(L98/V98)*100),  (V98/L98)*100),"-"))</f>
        <v/>
      </c>
      <c r="X98" s="45" t="str">
        <f aca="false">IF(AND(ISNUMBER(W98),ISNUMBER(J98)),MIN(W98,100)/100*J98,"")</f>
        <v/>
      </c>
    </row>
    <row r="99" customFormat="false" ht="25.5" hidden="false" customHeight="true" outlineLevel="0" collapsed="false">
      <c r="A99" s="37" t="str">
        <f aca="false">IF(B99="","",COUNTA(B$73:B99)-1)</f>
        <v/>
      </c>
      <c r="B99" s="38"/>
      <c r="C99" s="39"/>
      <c r="D99" s="40" t="str">
        <f aca="false">IFERROR(VLOOKUP($F$3,Data!$A:$B,2,0)&amp;"-L"&amp;TEXT(ROW()-ROW($D$73),"0"),"-L"&amp;TEXT(ROW()-ROW($D$73),"0"))</f>
        <v>ZF-L26</v>
      </c>
      <c r="E99" s="41"/>
      <c r="F99" s="41"/>
      <c r="G99" s="41"/>
      <c r="H99" s="41"/>
      <c r="I99" s="41"/>
      <c r="J99" s="42"/>
      <c r="K99" s="43"/>
      <c r="L99" s="43"/>
      <c r="M99" s="44" t="str">
        <f aca="false">IFERROR(IF(OR(K99="",L99="",ISNUMBER(SEARCH("متوسط",I99)),ISNUMBER(SEARCH("ليكرت",G99)),ISNUMBER(SEARCH("نوعي",E99))),"",K99+L99),"")</f>
        <v/>
      </c>
      <c r="N99" s="43"/>
      <c r="O99" s="43"/>
      <c r="P99" s="43"/>
      <c r="Q99" s="43"/>
      <c r="R99" s="43"/>
      <c r="S99" s="43"/>
      <c r="T99" s="43"/>
      <c r="U99" s="43"/>
      <c r="V99" s="44" t="str">
        <f aca="false">IFERROR(IF(COUNT(O99,Q99,S99,U99)=0,"",IF(ISNUMBER(SEARCH("تراكمي",I99)),IF(ISNUMBER(U99),U99,IF(ISNUMBER(S99),S99,IF(ISNUMBER(Q99),Q99,O99))),IF(ISNUMBER(SEARCH("متوسط",I99)),AVERAGE(O99,Q99,S99,U99),IF(AND(ISNUMBER(SEARCH("سنوي",I99)),ISERROR(SEARCH("نصف",I99))),IF(ISNUMBER(U99),U99,""),SUM(O99,Q99,S99,U99))))),"-")</f>
        <v/>
      </c>
      <c r="W99" s="45" t="str">
        <f aca="false">IF(OR(NOT(ISNUMBER(L99)),NOT(ISNUMBER(V99))),"",IFERROR(IF(ISNUMBER(SEARCH("تنازلي",H99)),  IF(V99=0,100,(L99/V99)*100),  (V99/L99)*100),"-"))</f>
        <v/>
      </c>
      <c r="X99" s="45" t="str">
        <f aca="false">IF(AND(ISNUMBER(W99),ISNUMBER(J99)),MIN(W99,100)/100*J99,"")</f>
        <v/>
      </c>
    </row>
    <row r="100" customFormat="false" ht="25.5" hidden="false" customHeight="true" outlineLevel="0" collapsed="false">
      <c r="A100" s="37" t="str">
        <f aca="false">IF(B100="","",COUNTA(B$73:B100)-1)</f>
        <v/>
      </c>
      <c r="B100" s="38"/>
      <c r="C100" s="39"/>
      <c r="D100" s="40" t="str">
        <f aca="false">IFERROR(VLOOKUP($F$3,Data!$A:$B,2,0)&amp;"-L"&amp;TEXT(ROW()-ROW($D$73),"0"),"-L"&amp;TEXT(ROW()-ROW($D$73),"0"))</f>
        <v>ZF-L27</v>
      </c>
      <c r="E100" s="41"/>
      <c r="F100" s="41"/>
      <c r="G100" s="41"/>
      <c r="H100" s="41"/>
      <c r="I100" s="41"/>
      <c r="J100" s="42"/>
      <c r="K100" s="43"/>
      <c r="L100" s="43"/>
      <c r="M100" s="44" t="str">
        <f aca="false">IFERROR(IF(OR(K100="",L100="",ISNUMBER(SEARCH("متوسط",I100)),ISNUMBER(SEARCH("ليكرت",G100)),ISNUMBER(SEARCH("نوعي",E100))),"",K100+L100),"")</f>
        <v/>
      </c>
      <c r="N100" s="43"/>
      <c r="O100" s="43"/>
      <c r="P100" s="43"/>
      <c r="Q100" s="43"/>
      <c r="R100" s="43"/>
      <c r="S100" s="43"/>
      <c r="T100" s="43"/>
      <c r="U100" s="43"/>
      <c r="V100" s="44" t="str">
        <f aca="false">IFERROR(IF(COUNT(O100,Q100,S100,U100)=0,"",IF(ISNUMBER(SEARCH("تراكمي",I100)),IF(ISNUMBER(U100),U100,IF(ISNUMBER(S100),S100,IF(ISNUMBER(Q100),Q100,O100))),IF(ISNUMBER(SEARCH("متوسط",I100)),AVERAGE(O100,Q100,S100,U100),IF(AND(ISNUMBER(SEARCH("سنوي",I100)),ISERROR(SEARCH("نصف",I100))),IF(ISNUMBER(U100),U100,""),SUM(O100,Q100,S100,U100))))),"-")</f>
        <v/>
      </c>
      <c r="W100" s="45" t="str">
        <f aca="false">IF(OR(NOT(ISNUMBER(L100)),NOT(ISNUMBER(V100))),"",IFERROR(IF(ISNUMBER(SEARCH("تنازلي",H100)),  IF(V100=0,100,(L100/V100)*100),  (V100/L100)*100),"-"))</f>
        <v/>
      </c>
      <c r="X100" s="45" t="str">
        <f aca="false">IF(AND(ISNUMBER(W100),ISNUMBER(J100)),MIN(W100,100)/100*J100,"")</f>
        <v/>
      </c>
    </row>
    <row r="101" customFormat="false" ht="25.5" hidden="false" customHeight="true" outlineLevel="0" collapsed="false">
      <c r="A101" s="37" t="str">
        <f aca="false">IF(B101="","",COUNTA(B$73:B101)-1)</f>
        <v/>
      </c>
      <c r="B101" s="38"/>
      <c r="C101" s="39"/>
      <c r="D101" s="40" t="str">
        <f aca="false">IFERROR(VLOOKUP($F$3,Data!$A:$B,2,0)&amp;"-L"&amp;TEXT(ROW()-ROW($D$73),"0"),"-L"&amp;TEXT(ROW()-ROW($D$73),"0"))</f>
        <v>ZF-L28</v>
      </c>
      <c r="E101" s="41"/>
      <c r="F101" s="41"/>
      <c r="G101" s="41"/>
      <c r="H101" s="41"/>
      <c r="I101" s="41"/>
      <c r="J101" s="42"/>
      <c r="K101" s="43"/>
      <c r="L101" s="43"/>
      <c r="M101" s="44" t="str">
        <f aca="false">IFERROR(IF(OR(K101="",L101="",ISNUMBER(SEARCH("متوسط",I101)),ISNUMBER(SEARCH("ليكرت",G101)),ISNUMBER(SEARCH("نوعي",E101))),"",K101+L101),"")</f>
        <v/>
      </c>
      <c r="N101" s="43"/>
      <c r="O101" s="43"/>
      <c r="P101" s="43"/>
      <c r="Q101" s="43"/>
      <c r="R101" s="43"/>
      <c r="S101" s="43"/>
      <c r="T101" s="43"/>
      <c r="U101" s="43"/>
      <c r="V101" s="44" t="str">
        <f aca="false">IFERROR(IF(COUNT(O101,Q101,S101,U101)=0,"",IF(ISNUMBER(SEARCH("تراكمي",I101)),IF(ISNUMBER(U101),U101,IF(ISNUMBER(S101),S101,IF(ISNUMBER(Q101),Q101,O101))),IF(ISNUMBER(SEARCH("متوسط",I101)),AVERAGE(O101,Q101,S101,U101),IF(AND(ISNUMBER(SEARCH("سنوي",I101)),ISERROR(SEARCH("نصف",I101))),IF(ISNUMBER(U101),U101,""),SUM(O101,Q101,S101,U101))))),"-")</f>
        <v/>
      </c>
      <c r="W101" s="45" t="str">
        <f aca="false">IF(OR(NOT(ISNUMBER(L101)),NOT(ISNUMBER(V101))),"",IFERROR(IF(ISNUMBER(SEARCH("تنازلي",H101)),  IF(V101=0,100,(L101/V101)*100),  (V101/L101)*100),"-"))</f>
        <v/>
      </c>
      <c r="X101" s="45" t="str">
        <f aca="false">IF(AND(ISNUMBER(W101),ISNUMBER(J101)),MIN(W101,100)/100*J101,"")</f>
        <v/>
      </c>
    </row>
    <row r="102" customFormat="false" ht="25.5" hidden="false" customHeight="true" outlineLevel="0" collapsed="false">
      <c r="A102" s="37" t="str">
        <f aca="false">IF(B102="","",COUNTA(B$73:B102)-1)</f>
        <v/>
      </c>
      <c r="B102" s="38"/>
      <c r="C102" s="39"/>
      <c r="D102" s="40" t="str">
        <f aca="false">IFERROR(VLOOKUP($F$3,Data!$A:$B,2,0)&amp;"-L"&amp;TEXT(ROW()-ROW($D$73),"0"),"-L"&amp;TEXT(ROW()-ROW($D$73),"0"))</f>
        <v>ZF-L29</v>
      </c>
      <c r="E102" s="41"/>
      <c r="F102" s="41"/>
      <c r="G102" s="41"/>
      <c r="H102" s="41"/>
      <c r="I102" s="41"/>
      <c r="J102" s="42"/>
      <c r="K102" s="43"/>
      <c r="L102" s="43"/>
      <c r="M102" s="44" t="str">
        <f aca="false">IFERROR(IF(OR(K102="",L102="",ISNUMBER(SEARCH("متوسط",I102)),ISNUMBER(SEARCH("ليكرت",G102)),ISNUMBER(SEARCH("نوعي",E102))),"",K102+L102),"")</f>
        <v/>
      </c>
      <c r="N102" s="43"/>
      <c r="O102" s="43"/>
      <c r="P102" s="43"/>
      <c r="Q102" s="43"/>
      <c r="R102" s="43"/>
      <c r="S102" s="43"/>
      <c r="T102" s="43"/>
      <c r="U102" s="43"/>
      <c r="V102" s="44" t="str">
        <f aca="false">IFERROR(IF(COUNT(O102,Q102,S102,U102)=0,"",IF(ISNUMBER(SEARCH("تراكمي",I102)),IF(ISNUMBER(U102),U102,IF(ISNUMBER(S102),S102,IF(ISNUMBER(Q102),Q102,O102))),IF(ISNUMBER(SEARCH("متوسط",I102)),AVERAGE(O102,Q102,S102,U102),IF(AND(ISNUMBER(SEARCH("سنوي",I102)),ISERROR(SEARCH("نصف",I102))),IF(ISNUMBER(U102),U102,""),SUM(O102,Q102,S102,U102))))),"-")</f>
        <v/>
      </c>
      <c r="W102" s="45" t="str">
        <f aca="false">IF(OR(NOT(ISNUMBER(L102)),NOT(ISNUMBER(V102))),"",IFERROR(IF(ISNUMBER(SEARCH("تنازلي",H102)),  IF(V102=0,100,(L102/V102)*100),  (V102/L102)*100),"-"))</f>
        <v/>
      </c>
      <c r="X102" s="45" t="str">
        <f aca="false">IF(AND(ISNUMBER(W102),ISNUMBER(J102)),MIN(W102,100)/100*J102,"")</f>
        <v/>
      </c>
    </row>
    <row r="103" customFormat="false" ht="25.5" hidden="false" customHeight="true" outlineLevel="0" collapsed="false">
      <c r="A103" s="37" t="str">
        <f aca="false">IF(B103="","",COUNTA(B$73:B103)-1)</f>
        <v/>
      </c>
      <c r="B103" s="38"/>
      <c r="C103" s="39"/>
      <c r="D103" s="40" t="str">
        <f aca="false">IFERROR(VLOOKUP($F$3,Data!$A:$B,2,0)&amp;"-L"&amp;TEXT(ROW()-ROW($D$73),"0"),"-L"&amp;TEXT(ROW()-ROW($D$73),"0"))</f>
        <v>ZF-L30</v>
      </c>
      <c r="E103" s="41"/>
      <c r="F103" s="41"/>
      <c r="G103" s="41"/>
      <c r="H103" s="41"/>
      <c r="I103" s="41"/>
      <c r="J103" s="42"/>
      <c r="K103" s="43"/>
      <c r="L103" s="43"/>
      <c r="M103" s="44" t="str">
        <f aca="false">IFERROR(IF(OR(K103="",L103="",ISNUMBER(SEARCH("متوسط",I103)),ISNUMBER(SEARCH("ليكرت",G103)),ISNUMBER(SEARCH("نوعي",E103))),"",K103+L103),"")</f>
        <v/>
      </c>
      <c r="N103" s="43"/>
      <c r="O103" s="43"/>
      <c r="P103" s="43"/>
      <c r="Q103" s="43"/>
      <c r="R103" s="43"/>
      <c r="S103" s="43"/>
      <c r="T103" s="43"/>
      <c r="U103" s="43"/>
      <c r="V103" s="44" t="str">
        <f aca="false">IFERROR(IF(COUNT(O103,Q103,S103,U103)=0,"",IF(ISNUMBER(SEARCH("تراكمي",I103)),IF(ISNUMBER(U103),U103,IF(ISNUMBER(S103),S103,IF(ISNUMBER(Q103),Q103,O103))),IF(ISNUMBER(SEARCH("متوسط",I103)),AVERAGE(O103,Q103,S103,U103),IF(AND(ISNUMBER(SEARCH("سنوي",I103)),ISERROR(SEARCH("نصف",I103))),IF(ISNUMBER(U103),U103,""),SUM(O103,Q103,S103,U103))))),"-")</f>
        <v/>
      </c>
      <c r="W103" s="45" t="str">
        <f aca="false">IF(OR(NOT(ISNUMBER(L103)),NOT(ISNUMBER(V103))),"",IFERROR(IF(ISNUMBER(SEARCH("تنازلي",H103)),  IF(V103=0,100,(L103/V103)*100),  (V103/L103)*100),"-"))</f>
        <v/>
      </c>
      <c r="X103" s="45" t="str">
        <f aca="false">IF(AND(ISNUMBER(W103),ISNUMBER(J103)),MIN(W103,100)/100*J103,"")</f>
        <v/>
      </c>
    </row>
    <row r="104" customFormat="false" ht="20.25" hidden="false" customHeight="true" outlineLevel="0" collapsed="false">
      <c r="A104" s="46" t="s">
        <v>398</v>
      </c>
      <c r="B104" s="46"/>
      <c r="C104" s="46"/>
      <c r="D104" s="46"/>
      <c r="E104" s="46"/>
      <c r="F104" s="46"/>
      <c r="G104" s="46"/>
      <c r="H104" s="46"/>
      <c r="I104" s="46"/>
      <c r="J104" s="47" t="n">
        <f aca="false">SUM(J73:INDEX(J:J,ROW()-1))</f>
        <v>25</v>
      </c>
      <c r="K104" s="48"/>
      <c r="L104" s="48"/>
      <c r="M104" s="48"/>
      <c r="N104" s="48"/>
      <c r="O104" s="48"/>
      <c r="P104" s="48"/>
      <c r="Q104" s="48"/>
      <c r="R104" s="48"/>
      <c r="S104" s="48"/>
      <c r="T104" s="48"/>
      <c r="U104" s="48"/>
      <c r="V104" s="48"/>
      <c r="W104" s="48"/>
      <c r="X104" s="47" t="n">
        <f aca="false">IF(COUNT(X73:INDEX(X:X,ROW()-1))=0,"",SUM(X73:INDEX(X:X,ROW()-1)))</f>
        <v>15</v>
      </c>
    </row>
    <row r="105" customFormat="false" ht="7.5" hidden="false" customHeight="true" outlineLevel="0" collapsed="false"/>
    <row r="106" customFormat="false" ht="30" hidden="false" customHeight="true" outlineLevel="0" collapsed="false">
      <c r="A106" s="32"/>
      <c r="B106" s="4" t="s">
        <v>417</v>
      </c>
      <c r="C106" s="4"/>
      <c r="D106" s="4"/>
      <c r="E106" s="33" t="s">
        <v>355</v>
      </c>
      <c r="F106" s="33"/>
      <c r="G106" s="33"/>
      <c r="H106" s="33"/>
      <c r="I106" s="33"/>
      <c r="J106" s="33"/>
      <c r="K106" s="33"/>
      <c r="L106" s="33"/>
      <c r="M106" s="34" t="s">
        <v>356</v>
      </c>
      <c r="N106" s="33" t="s">
        <v>357</v>
      </c>
      <c r="O106" s="33"/>
      <c r="P106" s="33"/>
      <c r="Q106" s="33"/>
      <c r="R106" s="33"/>
      <c r="S106" s="33"/>
      <c r="T106" s="33"/>
      <c r="U106" s="33"/>
      <c r="V106" s="33" t="s">
        <v>358</v>
      </c>
      <c r="W106" s="33"/>
      <c r="X106" s="33"/>
    </row>
    <row r="107" customFormat="false" ht="43.5" hidden="false" customHeight="true" outlineLevel="0" collapsed="false">
      <c r="A107" s="35" t="s">
        <v>359</v>
      </c>
      <c r="B107" s="36" t="s">
        <v>360</v>
      </c>
      <c r="C107" s="36" t="s">
        <v>361</v>
      </c>
      <c r="D107" s="36" t="s">
        <v>362</v>
      </c>
      <c r="E107" s="36" t="s">
        <v>363</v>
      </c>
      <c r="F107" s="36" t="s">
        <v>364</v>
      </c>
      <c r="G107" s="36" t="s">
        <v>365</v>
      </c>
      <c r="H107" s="36" t="s">
        <v>366</v>
      </c>
      <c r="I107" s="36" t="s">
        <v>367</v>
      </c>
      <c r="J107" s="36" t="s">
        <v>368</v>
      </c>
      <c r="K107" s="36" t="s">
        <v>369</v>
      </c>
      <c r="L107" s="36" t="s">
        <v>370</v>
      </c>
      <c r="M107" s="36" t="s">
        <v>371</v>
      </c>
      <c r="N107" s="36" t="s">
        <v>372</v>
      </c>
      <c r="O107" s="36" t="s">
        <v>373</v>
      </c>
      <c r="P107" s="36" t="s">
        <v>374</v>
      </c>
      <c r="Q107" s="36" t="s">
        <v>375</v>
      </c>
      <c r="R107" s="36" t="s">
        <v>376</v>
      </c>
      <c r="S107" s="36" t="s">
        <v>377</v>
      </c>
      <c r="T107" s="36" t="s">
        <v>378</v>
      </c>
      <c r="U107" s="36" t="s">
        <v>379</v>
      </c>
      <c r="V107" s="36" t="s">
        <v>380</v>
      </c>
      <c r="W107" s="36" t="s">
        <v>381</v>
      </c>
      <c r="X107" s="36" t="s">
        <v>382</v>
      </c>
    </row>
    <row r="108" customFormat="false" ht="25.5" hidden="false" customHeight="true" outlineLevel="0" collapsed="false">
      <c r="A108" s="37" t="n">
        <f aca="false">IF(B108="","",COUNTA(B$107:B108)-1)</f>
        <v>1</v>
      </c>
      <c r="B108" s="38" t="s">
        <v>418</v>
      </c>
      <c r="C108" s="39" t="s">
        <v>419</v>
      </c>
      <c r="D108" s="40" t="str">
        <f aca="false">IFERROR(VLOOKUP($F$3,Data!$A:$B,2,0)&amp;"-F"&amp;TEXT(ROW()-ROW($D$107),"0"),"-F"&amp;TEXT(ROW()-ROW($D$107),"0"))</f>
        <v>ZF-F1</v>
      </c>
      <c r="E108" s="41" t="s">
        <v>391</v>
      </c>
      <c r="F108" s="41" t="s">
        <v>386</v>
      </c>
      <c r="G108" s="41" t="s">
        <v>420</v>
      </c>
      <c r="H108" s="41" t="s">
        <v>388</v>
      </c>
      <c r="I108" s="41" t="s">
        <v>393</v>
      </c>
      <c r="J108" s="42" t="n">
        <v>15</v>
      </c>
      <c r="K108" s="43" t="n">
        <v>50000</v>
      </c>
      <c r="L108" s="43" t="n">
        <v>100000</v>
      </c>
      <c r="M108" s="44" t="n">
        <f aca="false">IFERROR(IF(OR(K108="",L108="",ISNUMBER(SEARCH("متوسط",I108)),ISNUMBER(SEARCH("ليكرت",G108)),ISNUMBER(SEARCH("نوعي",E108))),"",K108+L108),"")</f>
        <v>150000</v>
      </c>
      <c r="N108" s="43" t="n">
        <v>25000</v>
      </c>
      <c r="O108" s="43" t="n">
        <v>30000</v>
      </c>
      <c r="P108" s="43" t="n">
        <v>25000</v>
      </c>
      <c r="Q108" s="43" t="n">
        <v>20000</v>
      </c>
      <c r="R108" s="43" t="n">
        <v>25000</v>
      </c>
      <c r="S108" s="43"/>
      <c r="T108" s="43" t="n">
        <v>25000</v>
      </c>
      <c r="U108" s="43"/>
      <c r="V108" s="44" t="n">
        <f aca="false">IFERROR(IF(COUNT(O108,Q108,S108,U108)=0,"",IF(ISNUMBER(SEARCH("تراكمي",I108)),IF(ISNUMBER(U108),U108,IF(ISNUMBER(S108),S108,IF(ISNUMBER(Q108),Q108,O108))),IF(ISNUMBER(SEARCH("متوسط",I108)),AVERAGE(O108,Q108,S108,U108),IF(AND(ISNUMBER(SEARCH("سنوي",I108)),ISERROR(SEARCH("نصف",I108))),IF(ISNUMBER(U108),U108,""),SUM(O108,Q108,S108,U108))))),"-")</f>
        <v>50000</v>
      </c>
      <c r="W108" s="45" t="n">
        <f aca="false">IF(OR(NOT(ISNUMBER(L108)),NOT(ISNUMBER(V108))),"",IFERROR(IF(ISNUMBER(SEARCH("تنازلي",H108)),  IF(V108=0,100,(L108/V108)*100),  (V108/L108)*100),"-"))</f>
        <v>50</v>
      </c>
      <c r="X108" s="45" t="n">
        <f aca="false">IF(AND(ISNUMBER(W108),ISNUMBER(J108)),MIN(W108,100)/100*J108,"")</f>
        <v>7.5</v>
      </c>
    </row>
    <row r="109" customFormat="false" ht="25.5" hidden="false" customHeight="true" outlineLevel="0" collapsed="false">
      <c r="A109" s="37" t="n">
        <f aca="false">IF(B109="","",COUNTA(B$107:B109)-1)</f>
        <v>2</v>
      </c>
      <c r="B109" s="38" t="s">
        <v>421</v>
      </c>
      <c r="C109" s="39" t="s">
        <v>422</v>
      </c>
      <c r="D109" s="40" t="str">
        <f aca="false">IFERROR(VLOOKUP($F$3,Data!$A:$B,2,0)&amp;"-F"&amp;TEXT(ROW()-ROW($D$107),"0"),"-F"&amp;TEXT(ROW()-ROW($D$107),"0"))</f>
        <v>ZF-F2</v>
      </c>
      <c r="E109" s="41" t="s">
        <v>385</v>
      </c>
      <c r="F109" s="41" t="s">
        <v>386</v>
      </c>
      <c r="G109" s="41" t="s">
        <v>387</v>
      </c>
      <c r="H109" s="41" t="s">
        <v>388</v>
      </c>
      <c r="I109" s="41" t="s">
        <v>389</v>
      </c>
      <c r="J109" s="42" t="n">
        <v>10</v>
      </c>
      <c r="K109" s="43" t="n">
        <v>90</v>
      </c>
      <c r="L109" s="43" t="n">
        <v>95</v>
      </c>
      <c r="M109" s="44" t="str">
        <f aca="false">IFERROR(IF(OR(K109="",L109="",ISNUMBER(SEARCH("متوسط",I109)),ISNUMBER(SEARCH("ليكرت",G109)),ISNUMBER(SEARCH("نوعي",E109))),"",K109+L109),"")</f>
        <v/>
      </c>
      <c r="N109" s="43" t="n">
        <v>95</v>
      </c>
      <c r="O109" s="43" t="n">
        <v>90</v>
      </c>
      <c r="P109" s="43" t="n">
        <v>95</v>
      </c>
      <c r="Q109" s="43"/>
      <c r="R109" s="43" t="n">
        <v>95</v>
      </c>
      <c r="S109" s="43"/>
      <c r="T109" s="43" t="n">
        <v>95</v>
      </c>
      <c r="U109" s="43"/>
      <c r="V109" s="44" t="n">
        <f aca="false">IFERROR(IF(COUNT(O109,Q109,S109,U109)=0,"",IF(ISNUMBER(SEARCH("تراكمي",I109)),IF(ISNUMBER(U109),U109,IF(ISNUMBER(S109),S109,IF(ISNUMBER(Q109),Q109,O109))),IF(ISNUMBER(SEARCH("متوسط",I109)),AVERAGE(O109,Q109,S109,U109),IF(AND(ISNUMBER(SEARCH("سنوي",I109)),ISERROR(SEARCH("نصف",I109))),IF(ISNUMBER(U109),U109,""),SUM(O109,Q109,S109,U109))))),"-")</f>
        <v>90</v>
      </c>
      <c r="W109" s="45" t="n">
        <f aca="false">IF(OR(NOT(ISNUMBER(L109)),NOT(ISNUMBER(V109))),"",IFERROR(IF(ISNUMBER(SEARCH("تنازلي",H109)),  IF(V109=0,100,(L109/V109)*100),  (V109/L109)*100),"-"))</f>
        <v>94.7368421052632</v>
      </c>
      <c r="X109" s="45" t="n">
        <f aca="false">IF(AND(ISNUMBER(W109),ISNUMBER(J109)),MIN(W109,100)/100*J109,"")</f>
        <v>9.47368421052632</v>
      </c>
    </row>
    <row r="110" customFormat="false" ht="25.5" hidden="false" customHeight="true" outlineLevel="0" collapsed="false">
      <c r="A110" s="37" t="str">
        <f aca="false">IF(B110="","",COUNTA(B$107:B110)-1)</f>
        <v/>
      </c>
      <c r="B110" s="38"/>
      <c r="C110" s="39"/>
      <c r="D110" s="40" t="str">
        <f aca="false">IFERROR(VLOOKUP($F$3,Data!$A:$B,2,0)&amp;"-F"&amp;TEXT(ROW()-ROW($D$107),"0"),"-F"&amp;TEXT(ROW()-ROW($D$107),"0"))</f>
        <v>ZF-F3</v>
      </c>
      <c r="E110" s="41"/>
      <c r="F110" s="41"/>
      <c r="G110" s="41"/>
      <c r="H110" s="41"/>
      <c r="I110" s="41"/>
      <c r="J110" s="42"/>
      <c r="K110" s="43"/>
      <c r="L110" s="43"/>
      <c r="M110" s="44" t="str">
        <f aca="false">IFERROR(IF(OR(K110="",L110="",ISNUMBER(SEARCH("متوسط",I110)),ISNUMBER(SEARCH("ليكرت",G110)),ISNUMBER(SEARCH("نوعي",E110))),"",K110+L110),"")</f>
        <v/>
      </c>
      <c r="N110" s="43"/>
      <c r="O110" s="43"/>
      <c r="P110" s="43"/>
      <c r="Q110" s="43"/>
      <c r="R110" s="43"/>
      <c r="S110" s="43"/>
      <c r="T110" s="43"/>
      <c r="U110" s="43"/>
      <c r="V110" s="44" t="str">
        <f aca="false">IFERROR(IF(COUNT(O110,Q110,S110,U110)=0,"",IF(ISNUMBER(SEARCH("تراكمي",I110)),IF(ISNUMBER(U110),U110,IF(ISNUMBER(S110),S110,IF(ISNUMBER(Q110),Q110,O110))),IF(ISNUMBER(SEARCH("متوسط",I110)),AVERAGE(O110,Q110,S110,U110),IF(AND(ISNUMBER(SEARCH("سنوي",I110)),ISERROR(SEARCH("نصف",I110))),IF(ISNUMBER(U110),U110,""),SUM(O110,Q110,S110,U110))))),"-")</f>
        <v/>
      </c>
      <c r="W110" s="45" t="str">
        <f aca="false">IF(OR(NOT(ISNUMBER(L110)),NOT(ISNUMBER(V110))),"",IFERROR(IF(ISNUMBER(SEARCH("تنازلي",H110)),  IF(V110=0,100,(L110/V110)*100),  (V110/L110)*100),"-"))</f>
        <v/>
      </c>
      <c r="X110" s="45" t="str">
        <f aca="false">IF(AND(ISNUMBER(W110),ISNUMBER(J110)),MIN(W110,100)/100*J110,"")</f>
        <v/>
      </c>
    </row>
    <row r="111" customFormat="false" ht="25.5" hidden="false" customHeight="true" outlineLevel="0" collapsed="false">
      <c r="A111" s="37" t="str">
        <f aca="false">IF(B111="","",COUNTA(B$107:B111)-1)</f>
        <v/>
      </c>
      <c r="B111" s="38"/>
      <c r="C111" s="39"/>
      <c r="D111" s="40" t="str">
        <f aca="false">IFERROR(VLOOKUP($F$3,Data!$A:$B,2,0)&amp;"-F"&amp;TEXT(ROW()-ROW($D$107),"0"),"-F"&amp;TEXT(ROW()-ROW($D$107),"0"))</f>
        <v>ZF-F4</v>
      </c>
      <c r="E111" s="41"/>
      <c r="F111" s="41"/>
      <c r="G111" s="41"/>
      <c r="H111" s="41"/>
      <c r="I111" s="41"/>
      <c r="J111" s="42"/>
      <c r="K111" s="43"/>
      <c r="L111" s="43"/>
      <c r="M111" s="44" t="str">
        <f aca="false">IFERROR(IF(OR(K111="",L111="",ISNUMBER(SEARCH("متوسط",I111)),ISNUMBER(SEARCH("ليكرت",G111)),ISNUMBER(SEARCH("نوعي",E111))),"",K111+L111),"")</f>
        <v/>
      </c>
      <c r="N111" s="43"/>
      <c r="O111" s="43"/>
      <c r="P111" s="43"/>
      <c r="Q111" s="43"/>
      <c r="R111" s="43"/>
      <c r="S111" s="43"/>
      <c r="T111" s="43"/>
      <c r="U111" s="43"/>
      <c r="V111" s="44" t="str">
        <f aca="false">IFERROR(IF(COUNT(O111,Q111,S111,U111)=0,"",IF(ISNUMBER(SEARCH("تراكمي",I111)),IF(ISNUMBER(U111),U111,IF(ISNUMBER(S111),S111,IF(ISNUMBER(Q111),Q111,O111))),IF(ISNUMBER(SEARCH("متوسط",I111)),AVERAGE(O111,Q111,S111,U111),IF(AND(ISNUMBER(SEARCH("سنوي",I111)),ISERROR(SEARCH("نصف",I111))),IF(ISNUMBER(U111),U111,""),SUM(O111,Q111,S111,U111))))),"-")</f>
        <v/>
      </c>
      <c r="W111" s="45" t="str">
        <f aca="false">IF(OR(NOT(ISNUMBER(L111)),NOT(ISNUMBER(V111))),"",IFERROR(IF(ISNUMBER(SEARCH("تنازلي",H111)),  IF(V111=0,100,(L111/V111)*100),  (V111/L111)*100),"-"))</f>
        <v/>
      </c>
      <c r="X111" s="45" t="str">
        <f aca="false">IF(AND(ISNUMBER(W111),ISNUMBER(J111)),MIN(W111,100)/100*J111,"")</f>
        <v/>
      </c>
    </row>
    <row r="112" customFormat="false" ht="25.5" hidden="false" customHeight="true" outlineLevel="0" collapsed="false">
      <c r="A112" s="37" t="str">
        <f aca="false">IF(B112="","",COUNTA(B$107:B112)-1)</f>
        <v/>
      </c>
      <c r="B112" s="38"/>
      <c r="C112" s="39"/>
      <c r="D112" s="40" t="str">
        <f aca="false">IFERROR(VLOOKUP($F$3,Data!$A:$B,2,0)&amp;"-F"&amp;TEXT(ROW()-ROW($D$107),"0"),"-F"&amp;TEXT(ROW()-ROW($D$107),"0"))</f>
        <v>ZF-F5</v>
      </c>
      <c r="E112" s="41"/>
      <c r="F112" s="41"/>
      <c r="G112" s="41"/>
      <c r="H112" s="41"/>
      <c r="I112" s="41"/>
      <c r="J112" s="42"/>
      <c r="K112" s="43"/>
      <c r="L112" s="43"/>
      <c r="M112" s="44" t="str">
        <f aca="false">IFERROR(IF(OR(K112="",L112="",ISNUMBER(SEARCH("متوسط",I112)),ISNUMBER(SEARCH("ليكرت",G112)),ISNUMBER(SEARCH("نوعي",E112))),"",K112+L112),"")</f>
        <v/>
      </c>
      <c r="N112" s="43"/>
      <c r="O112" s="43"/>
      <c r="P112" s="43"/>
      <c r="Q112" s="43"/>
      <c r="R112" s="43"/>
      <c r="S112" s="43"/>
      <c r="T112" s="43"/>
      <c r="U112" s="43"/>
      <c r="V112" s="44" t="str">
        <f aca="false">IFERROR(IF(COUNT(O112,Q112,S112,U112)=0,"",IF(ISNUMBER(SEARCH("تراكمي",I112)),IF(ISNUMBER(U112),U112,IF(ISNUMBER(S112),S112,IF(ISNUMBER(Q112),Q112,O112))),IF(ISNUMBER(SEARCH("متوسط",I112)),AVERAGE(O112,Q112,S112,U112),IF(AND(ISNUMBER(SEARCH("سنوي",I112)),ISERROR(SEARCH("نصف",I112))),IF(ISNUMBER(U112),U112,""),SUM(O112,Q112,S112,U112))))),"-")</f>
        <v/>
      </c>
      <c r="W112" s="45" t="str">
        <f aca="false">IF(OR(NOT(ISNUMBER(L112)),NOT(ISNUMBER(V112))),"",IFERROR(IF(ISNUMBER(SEARCH("تنازلي",H112)),  IF(V112=0,100,(L112/V112)*100),  (V112/L112)*100),"-"))</f>
        <v/>
      </c>
      <c r="X112" s="45" t="str">
        <f aca="false">IF(AND(ISNUMBER(W112),ISNUMBER(J112)),MIN(W112,100)/100*J112,"")</f>
        <v/>
      </c>
    </row>
    <row r="113" customFormat="false" ht="25.5" hidden="false" customHeight="true" outlineLevel="0" collapsed="false">
      <c r="A113" s="37" t="str">
        <f aca="false">IF(B113="","",COUNTA(B$107:B113)-1)</f>
        <v/>
      </c>
      <c r="B113" s="38"/>
      <c r="C113" s="39"/>
      <c r="D113" s="40" t="str">
        <f aca="false">IFERROR(VLOOKUP($F$3,Data!$A:$B,2,0)&amp;"-F"&amp;TEXT(ROW()-ROW($D$107),"0"),"-F"&amp;TEXT(ROW()-ROW($D$107),"0"))</f>
        <v>ZF-F6</v>
      </c>
      <c r="E113" s="41"/>
      <c r="F113" s="41"/>
      <c r="G113" s="41"/>
      <c r="H113" s="41"/>
      <c r="I113" s="41"/>
      <c r="J113" s="42"/>
      <c r="K113" s="43"/>
      <c r="L113" s="43"/>
      <c r="M113" s="44" t="str">
        <f aca="false">IFERROR(IF(OR(K113="",L113="",ISNUMBER(SEARCH("متوسط",I113)),ISNUMBER(SEARCH("ليكرت",G113)),ISNUMBER(SEARCH("نوعي",E113))),"",K113+L113),"")</f>
        <v/>
      </c>
      <c r="N113" s="43"/>
      <c r="O113" s="43"/>
      <c r="P113" s="43"/>
      <c r="Q113" s="43"/>
      <c r="R113" s="43"/>
      <c r="S113" s="43"/>
      <c r="T113" s="43"/>
      <c r="U113" s="43"/>
      <c r="V113" s="44" t="str">
        <f aca="false">IFERROR(IF(COUNT(O113,Q113,S113,U113)=0,"",IF(ISNUMBER(SEARCH("تراكمي",I113)),IF(ISNUMBER(U113),U113,IF(ISNUMBER(S113),S113,IF(ISNUMBER(Q113),Q113,O113))),IF(ISNUMBER(SEARCH("متوسط",I113)),AVERAGE(O113,Q113,S113,U113),IF(AND(ISNUMBER(SEARCH("سنوي",I113)),ISERROR(SEARCH("نصف",I113))),IF(ISNUMBER(U113),U113,""),SUM(O113,Q113,S113,U113))))),"-")</f>
        <v/>
      </c>
      <c r="W113" s="45" t="str">
        <f aca="false">IF(OR(NOT(ISNUMBER(L113)),NOT(ISNUMBER(V113))),"",IFERROR(IF(ISNUMBER(SEARCH("تنازلي",H113)),  IF(V113=0,100,(L113/V113)*100),  (V113/L113)*100),"-"))</f>
        <v/>
      </c>
      <c r="X113" s="45" t="str">
        <f aca="false">IF(AND(ISNUMBER(W113),ISNUMBER(J113)),MIN(W113,100)/100*J113,"")</f>
        <v/>
      </c>
    </row>
    <row r="114" customFormat="false" ht="25.5" hidden="false" customHeight="true" outlineLevel="0" collapsed="false">
      <c r="A114" s="37" t="str">
        <f aca="false">IF(B114="","",COUNTA(B$107:B114)-1)</f>
        <v/>
      </c>
      <c r="B114" s="38"/>
      <c r="C114" s="39"/>
      <c r="D114" s="40" t="str">
        <f aca="false">IFERROR(VLOOKUP($F$3,Data!$A:$B,2,0)&amp;"-F"&amp;TEXT(ROW()-ROW($D$107),"0"),"-F"&amp;TEXT(ROW()-ROW($D$107),"0"))</f>
        <v>ZF-F7</v>
      </c>
      <c r="E114" s="41"/>
      <c r="F114" s="41"/>
      <c r="G114" s="41"/>
      <c r="H114" s="41"/>
      <c r="I114" s="41"/>
      <c r="J114" s="42"/>
      <c r="K114" s="43"/>
      <c r="L114" s="43"/>
      <c r="M114" s="44" t="str">
        <f aca="false">IFERROR(IF(OR(K114="",L114="",ISNUMBER(SEARCH("متوسط",I114)),ISNUMBER(SEARCH("ليكرت",G114)),ISNUMBER(SEARCH("نوعي",E114))),"",K114+L114),"")</f>
        <v/>
      </c>
      <c r="N114" s="43"/>
      <c r="O114" s="43"/>
      <c r="P114" s="43"/>
      <c r="Q114" s="43"/>
      <c r="R114" s="43"/>
      <c r="S114" s="43"/>
      <c r="T114" s="43"/>
      <c r="U114" s="43"/>
      <c r="V114" s="44" t="str">
        <f aca="false">IFERROR(IF(COUNT(O114,Q114,S114,U114)=0,"",IF(ISNUMBER(SEARCH("تراكمي",I114)),IF(ISNUMBER(U114),U114,IF(ISNUMBER(S114),S114,IF(ISNUMBER(Q114),Q114,O114))),IF(ISNUMBER(SEARCH("متوسط",I114)),AVERAGE(O114,Q114,S114,U114),IF(AND(ISNUMBER(SEARCH("سنوي",I114)),ISERROR(SEARCH("نصف",I114))),IF(ISNUMBER(U114),U114,""),SUM(O114,Q114,S114,U114))))),"-")</f>
        <v/>
      </c>
      <c r="W114" s="45" t="str">
        <f aca="false">IF(OR(NOT(ISNUMBER(L114)),NOT(ISNUMBER(V114))),"",IFERROR(IF(ISNUMBER(SEARCH("تنازلي",H114)),  IF(V114=0,100,(L114/V114)*100),  (V114/L114)*100),"-"))</f>
        <v/>
      </c>
      <c r="X114" s="45" t="str">
        <f aca="false">IF(AND(ISNUMBER(W114),ISNUMBER(J114)),MIN(W114,100)/100*J114,"")</f>
        <v/>
      </c>
    </row>
    <row r="115" customFormat="false" ht="25.5" hidden="false" customHeight="true" outlineLevel="0" collapsed="false">
      <c r="A115" s="37" t="str">
        <f aca="false">IF(B115="","",COUNTA(B$107:B115)-1)</f>
        <v/>
      </c>
      <c r="B115" s="38"/>
      <c r="C115" s="39"/>
      <c r="D115" s="40" t="str">
        <f aca="false">IFERROR(VLOOKUP($F$3,Data!$A:$B,2,0)&amp;"-F"&amp;TEXT(ROW()-ROW($D$107),"0"),"-F"&amp;TEXT(ROW()-ROW($D$107),"0"))</f>
        <v>ZF-F8</v>
      </c>
      <c r="E115" s="41"/>
      <c r="F115" s="41"/>
      <c r="G115" s="41"/>
      <c r="H115" s="41"/>
      <c r="I115" s="41"/>
      <c r="J115" s="42"/>
      <c r="K115" s="43"/>
      <c r="L115" s="43"/>
      <c r="M115" s="44" t="str">
        <f aca="false">IFERROR(IF(OR(K115="",L115="",ISNUMBER(SEARCH("متوسط",I115)),ISNUMBER(SEARCH("ليكرت",G115)),ISNUMBER(SEARCH("نوعي",E115))),"",K115+L115),"")</f>
        <v/>
      </c>
      <c r="N115" s="43"/>
      <c r="O115" s="43"/>
      <c r="P115" s="43"/>
      <c r="Q115" s="43"/>
      <c r="R115" s="43"/>
      <c r="S115" s="43"/>
      <c r="T115" s="43"/>
      <c r="U115" s="43"/>
      <c r="V115" s="44" t="str">
        <f aca="false">IFERROR(IF(COUNT(O115,Q115,S115,U115)=0,"",IF(ISNUMBER(SEARCH("تراكمي",I115)),IF(ISNUMBER(U115),U115,IF(ISNUMBER(S115),S115,IF(ISNUMBER(Q115),Q115,O115))),IF(ISNUMBER(SEARCH("متوسط",I115)),AVERAGE(O115,Q115,S115,U115),IF(AND(ISNUMBER(SEARCH("سنوي",I115)),ISERROR(SEARCH("نصف",I115))),IF(ISNUMBER(U115),U115,""),SUM(O115,Q115,S115,U115))))),"-")</f>
        <v/>
      </c>
      <c r="W115" s="45" t="str">
        <f aca="false">IF(OR(NOT(ISNUMBER(L115)),NOT(ISNUMBER(V115))),"",IFERROR(IF(ISNUMBER(SEARCH("تنازلي",H115)),  IF(V115=0,100,(L115/V115)*100),  (V115/L115)*100),"-"))</f>
        <v/>
      </c>
      <c r="X115" s="45" t="str">
        <f aca="false">IF(AND(ISNUMBER(W115),ISNUMBER(J115)),MIN(W115,100)/100*J115,"")</f>
        <v/>
      </c>
    </row>
    <row r="116" customFormat="false" ht="25.5" hidden="false" customHeight="true" outlineLevel="0" collapsed="false">
      <c r="A116" s="37" t="str">
        <f aca="false">IF(B116="","",COUNTA(B$107:B116)-1)</f>
        <v/>
      </c>
      <c r="B116" s="38"/>
      <c r="C116" s="39"/>
      <c r="D116" s="40" t="str">
        <f aca="false">IFERROR(VLOOKUP($F$3,Data!$A:$B,2,0)&amp;"-F"&amp;TEXT(ROW()-ROW($D$107),"0"),"-F"&amp;TEXT(ROW()-ROW($D$107),"0"))</f>
        <v>ZF-F9</v>
      </c>
      <c r="E116" s="41"/>
      <c r="F116" s="41"/>
      <c r="G116" s="41"/>
      <c r="H116" s="41"/>
      <c r="I116" s="41"/>
      <c r="J116" s="42"/>
      <c r="K116" s="43"/>
      <c r="L116" s="43"/>
      <c r="M116" s="44" t="str">
        <f aca="false">IFERROR(IF(OR(K116="",L116="",ISNUMBER(SEARCH("متوسط",I116)),ISNUMBER(SEARCH("ليكرت",G116)),ISNUMBER(SEARCH("نوعي",E116))),"",K116+L116),"")</f>
        <v/>
      </c>
      <c r="N116" s="43"/>
      <c r="O116" s="43"/>
      <c r="P116" s="43"/>
      <c r="Q116" s="43"/>
      <c r="R116" s="43"/>
      <c r="S116" s="43"/>
      <c r="T116" s="43"/>
      <c r="U116" s="43"/>
      <c r="V116" s="44" t="str">
        <f aca="false">IFERROR(IF(COUNT(O116,Q116,S116,U116)=0,"",IF(ISNUMBER(SEARCH("تراكمي",I116)),IF(ISNUMBER(U116),U116,IF(ISNUMBER(S116),S116,IF(ISNUMBER(Q116),Q116,O116))),IF(ISNUMBER(SEARCH("متوسط",I116)),AVERAGE(O116,Q116,S116,U116),IF(AND(ISNUMBER(SEARCH("سنوي",I116)),ISERROR(SEARCH("نصف",I116))),IF(ISNUMBER(U116),U116,""),SUM(O116,Q116,S116,U116))))),"-")</f>
        <v/>
      </c>
      <c r="W116" s="45" t="str">
        <f aca="false">IF(OR(NOT(ISNUMBER(L116)),NOT(ISNUMBER(V116))),"",IFERROR(IF(ISNUMBER(SEARCH("تنازلي",H116)),  IF(V116=0,100,(L116/V116)*100),  (V116/L116)*100),"-"))</f>
        <v/>
      </c>
      <c r="X116" s="45" t="str">
        <f aca="false">IF(AND(ISNUMBER(W116),ISNUMBER(J116)),MIN(W116,100)/100*J116,"")</f>
        <v/>
      </c>
    </row>
    <row r="117" customFormat="false" ht="25.5" hidden="false" customHeight="true" outlineLevel="0" collapsed="false">
      <c r="A117" s="37" t="str">
        <f aca="false">IF(B117="","",COUNTA(B$107:B117)-1)</f>
        <v/>
      </c>
      <c r="B117" s="38"/>
      <c r="C117" s="39"/>
      <c r="D117" s="40" t="str">
        <f aca="false">IFERROR(VLOOKUP($F$3,Data!$A:$B,2,0)&amp;"-F"&amp;TEXT(ROW()-ROW($D$107),"0"),"-F"&amp;TEXT(ROW()-ROW($D$107),"0"))</f>
        <v>ZF-F10</v>
      </c>
      <c r="E117" s="41"/>
      <c r="F117" s="41"/>
      <c r="G117" s="41"/>
      <c r="H117" s="41"/>
      <c r="I117" s="41"/>
      <c r="J117" s="42"/>
      <c r="K117" s="43"/>
      <c r="L117" s="43"/>
      <c r="M117" s="44" t="str">
        <f aca="false">IFERROR(IF(OR(K117="",L117="",ISNUMBER(SEARCH("متوسط",I117)),ISNUMBER(SEARCH("ليكرت",G117)),ISNUMBER(SEARCH("نوعي",E117))),"",K117+L117),"")</f>
        <v/>
      </c>
      <c r="N117" s="43"/>
      <c r="O117" s="43"/>
      <c r="P117" s="43"/>
      <c r="Q117" s="43"/>
      <c r="R117" s="43"/>
      <c r="S117" s="43"/>
      <c r="T117" s="43"/>
      <c r="U117" s="43"/>
      <c r="V117" s="44" t="str">
        <f aca="false">IFERROR(IF(COUNT(O117,Q117,S117,U117)=0,"",IF(ISNUMBER(SEARCH("تراكمي",I117)),IF(ISNUMBER(U117),U117,IF(ISNUMBER(S117),S117,IF(ISNUMBER(Q117),Q117,O117))),IF(ISNUMBER(SEARCH("متوسط",I117)),AVERAGE(O117,Q117,S117,U117),IF(AND(ISNUMBER(SEARCH("سنوي",I117)),ISERROR(SEARCH("نصف",I117))),IF(ISNUMBER(U117),U117,""),SUM(O117,Q117,S117,U117))))),"-")</f>
        <v/>
      </c>
      <c r="W117" s="45" t="str">
        <f aca="false">IF(OR(NOT(ISNUMBER(L117)),NOT(ISNUMBER(V117))),"",IFERROR(IF(ISNUMBER(SEARCH("تنازلي",H117)),  IF(V117=0,100,(L117/V117)*100),  (V117/L117)*100),"-"))</f>
        <v/>
      </c>
      <c r="X117" s="45" t="str">
        <f aca="false">IF(AND(ISNUMBER(W117),ISNUMBER(J117)),MIN(W117,100)/100*J117,"")</f>
        <v/>
      </c>
    </row>
    <row r="118" customFormat="false" ht="25.5" hidden="false" customHeight="true" outlineLevel="0" collapsed="false">
      <c r="A118" s="37" t="str">
        <f aca="false">IF(B118="","",COUNTA(B$107:B118)-1)</f>
        <v/>
      </c>
      <c r="B118" s="38"/>
      <c r="C118" s="39"/>
      <c r="D118" s="40" t="str">
        <f aca="false">IFERROR(VLOOKUP($F$3,Data!$A:$B,2,0)&amp;"-F"&amp;TEXT(ROW()-ROW($D$107),"0"),"-F"&amp;TEXT(ROW()-ROW($D$107),"0"))</f>
        <v>ZF-F11</v>
      </c>
      <c r="E118" s="41"/>
      <c r="F118" s="41"/>
      <c r="G118" s="41"/>
      <c r="H118" s="41"/>
      <c r="I118" s="41"/>
      <c r="J118" s="42"/>
      <c r="K118" s="43"/>
      <c r="L118" s="43"/>
      <c r="M118" s="44" t="str">
        <f aca="false">IFERROR(IF(OR(K118="",L118="",ISNUMBER(SEARCH("متوسط",I118)),ISNUMBER(SEARCH("ليكرت",G118)),ISNUMBER(SEARCH("نوعي",E118))),"",K118+L118),"")</f>
        <v/>
      </c>
      <c r="N118" s="43"/>
      <c r="O118" s="43"/>
      <c r="P118" s="43"/>
      <c r="Q118" s="43"/>
      <c r="R118" s="43"/>
      <c r="S118" s="43"/>
      <c r="T118" s="43"/>
      <c r="U118" s="43"/>
      <c r="V118" s="44" t="str">
        <f aca="false">IFERROR(IF(COUNT(O118,Q118,S118,U118)=0,"",IF(ISNUMBER(SEARCH("تراكمي",I118)),IF(ISNUMBER(U118),U118,IF(ISNUMBER(S118),S118,IF(ISNUMBER(Q118),Q118,O118))),IF(ISNUMBER(SEARCH("متوسط",I118)),AVERAGE(O118,Q118,S118,U118),IF(AND(ISNUMBER(SEARCH("سنوي",I118)),ISERROR(SEARCH("نصف",I118))),IF(ISNUMBER(U118),U118,""),SUM(O118,Q118,S118,U118))))),"-")</f>
        <v/>
      </c>
      <c r="W118" s="45" t="str">
        <f aca="false">IF(OR(NOT(ISNUMBER(L118)),NOT(ISNUMBER(V118))),"",IFERROR(IF(ISNUMBER(SEARCH("تنازلي",H118)),  IF(V118=0,100,(L118/V118)*100),  (V118/L118)*100),"-"))</f>
        <v/>
      </c>
      <c r="X118" s="45" t="str">
        <f aca="false">IF(AND(ISNUMBER(W118),ISNUMBER(J118)),MIN(W118,100)/100*J118,"")</f>
        <v/>
      </c>
    </row>
    <row r="119" customFormat="false" ht="25.5" hidden="false" customHeight="true" outlineLevel="0" collapsed="false">
      <c r="A119" s="37" t="str">
        <f aca="false">IF(B119="","",COUNTA(B$107:B119)-1)</f>
        <v/>
      </c>
      <c r="B119" s="38"/>
      <c r="C119" s="39"/>
      <c r="D119" s="40" t="str">
        <f aca="false">IFERROR(VLOOKUP($F$3,Data!$A:$B,2,0)&amp;"-F"&amp;TEXT(ROW()-ROW($D$107),"0"),"-F"&amp;TEXT(ROW()-ROW($D$107),"0"))</f>
        <v>ZF-F12</v>
      </c>
      <c r="E119" s="41"/>
      <c r="F119" s="41"/>
      <c r="G119" s="41"/>
      <c r="H119" s="41"/>
      <c r="I119" s="41"/>
      <c r="J119" s="42"/>
      <c r="K119" s="43"/>
      <c r="L119" s="43"/>
      <c r="M119" s="44" t="str">
        <f aca="false">IFERROR(IF(OR(K119="",L119="",ISNUMBER(SEARCH("متوسط",I119)),ISNUMBER(SEARCH("ليكرت",G119)),ISNUMBER(SEARCH("نوعي",E119))),"",K119+L119),"")</f>
        <v/>
      </c>
      <c r="N119" s="43"/>
      <c r="O119" s="43"/>
      <c r="P119" s="43"/>
      <c r="Q119" s="43"/>
      <c r="R119" s="43"/>
      <c r="S119" s="43"/>
      <c r="T119" s="43"/>
      <c r="U119" s="43"/>
      <c r="V119" s="44" t="str">
        <f aca="false">IFERROR(IF(COUNT(O119,Q119,S119,U119)=0,"",IF(ISNUMBER(SEARCH("تراكمي",I119)),IF(ISNUMBER(U119),U119,IF(ISNUMBER(S119),S119,IF(ISNUMBER(Q119),Q119,O119))),IF(ISNUMBER(SEARCH("متوسط",I119)),AVERAGE(O119,Q119,S119,U119),IF(AND(ISNUMBER(SEARCH("سنوي",I119)),ISERROR(SEARCH("نصف",I119))),IF(ISNUMBER(U119),U119,""),SUM(O119,Q119,S119,U119))))),"-")</f>
        <v/>
      </c>
      <c r="W119" s="45" t="str">
        <f aca="false">IF(OR(NOT(ISNUMBER(L119)),NOT(ISNUMBER(V119))),"",IFERROR(IF(ISNUMBER(SEARCH("تنازلي",H119)),  IF(V119=0,100,(L119/V119)*100),  (V119/L119)*100),"-"))</f>
        <v/>
      </c>
      <c r="X119" s="45" t="str">
        <f aca="false">IF(AND(ISNUMBER(W119),ISNUMBER(J119)),MIN(W119,100)/100*J119,"")</f>
        <v/>
      </c>
    </row>
    <row r="120" customFormat="false" ht="25.5" hidden="false" customHeight="true" outlineLevel="0" collapsed="false">
      <c r="A120" s="37" t="str">
        <f aca="false">IF(B120="","",COUNTA(B$107:B120)-1)</f>
        <v/>
      </c>
      <c r="B120" s="38"/>
      <c r="C120" s="39"/>
      <c r="D120" s="40" t="str">
        <f aca="false">IFERROR(VLOOKUP($F$3,Data!$A:$B,2,0)&amp;"-F"&amp;TEXT(ROW()-ROW($D$107),"0"),"-F"&amp;TEXT(ROW()-ROW($D$107),"0"))</f>
        <v>ZF-F13</v>
      </c>
      <c r="E120" s="41"/>
      <c r="F120" s="41"/>
      <c r="G120" s="41"/>
      <c r="H120" s="41"/>
      <c r="I120" s="41"/>
      <c r="J120" s="42"/>
      <c r="K120" s="43"/>
      <c r="L120" s="43"/>
      <c r="M120" s="44" t="str">
        <f aca="false">IFERROR(IF(OR(K120="",L120="",ISNUMBER(SEARCH("متوسط",I120)),ISNUMBER(SEARCH("ليكرت",G120)),ISNUMBER(SEARCH("نوعي",E120))),"",K120+L120),"")</f>
        <v/>
      </c>
      <c r="N120" s="43"/>
      <c r="O120" s="43"/>
      <c r="P120" s="43"/>
      <c r="Q120" s="43"/>
      <c r="R120" s="43"/>
      <c r="S120" s="43"/>
      <c r="T120" s="43"/>
      <c r="U120" s="43"/>
      <c r="V120" s="44" t="str">
        <f aca="false">IFERROR(IF(COUNT(O120,Q120,S120,U120)=0,"",IF(ISNUMBER(SEARCH("تراكمي",I120)),IF(ISNUMBER(U120),U120,IF(ISNUMBER(S120),S120,IF(ISNUMBER(Q120),Q120,O120))),IF(ISNUMBER(SEARCH("متوسط",I120)),AVERAGE(O120,Q120,S120,U120),IF(AND(ISNUMBER(SEARCH("سنوي",I120)),ISERROR(SEARCH("نصف",I120))),IF(ISNUMBER(U120),U120,""),SUM(O120,Q120,S120,U120))))),"-")</f>
        <v/>
      </c>
      <c r="W120" s="45" t="str">
        <f aca="false">IF(OR(NOT(ISNUMBER(L120)),NOT(ISNUMBER(V120))),"",IFERROR(IF(ISNUMBER(SEARCH("تنازلي",H120)),  IF(V120=0,100,(L120/V120)*100),  (V120/L120)*100),"-"))</f>
        <v/>
      </c>
      <c r="X120" s="45" t="str">
        <f aca="false">IF(AND(ISNUMBER(W120),ISNUMBER(J120)),MIN(W120,100)/100*J120,"")</f>
        <v/>
      </c>
    </row>
    <row r="121" customFormat="false" ht="25.5" hidden="false" customHeight="true" outlineLevel="0" collapsed="false">
      <c r="A121" s="37" t="str">
        <f aca="false">IF(B121="","",COUNTA(B$107:B121)-1)</f>
        <v/>
      </c>
      <c r="B121" s="38"/>
      <c r="C121" s="39"/>
      <c r="D121" s="40" t="str">
        <f aca="false">IFERROR(VLOOKUP($F$3,Data!$A:$B,2,0)&amp;"-F"&amp;TEXT(ROW()-ROW($D$107),"0"),"-F"&amp;TEXT(ROW()-ROW($D$107),"0"))</f>
        <v>ZF-F14</v>
      </c>
      <c r="E121" s="41"/>
      <c r="F121" s="41"/>
      <c r="G121" s="41"/>
      <c r="H121" s="41"/>
      <c r="I121" s="41"/>
      <c r="J121" s="42"/>
      <c r="K121" s="43"/>
      <c r="L121" s="43"/>
      <c r="M121" s="44" t="str">
        <f aca="false">IFERROR(IF(OR(K121="",L121="",ISNUMBER(SEARCH("متوسط",I121)),ISNUMBER(SEARCH("ليكرت",G121)),ISNUMBER(SEARCH("نوعي",E121))),"",K121+L121),"")</f>
        <v/>
      </c>
      <c r="N121" s="43"/>
      <c r="O121" s="43"/>
      <c r="P121" s="43"/>
      <c r="Q121" s="43"/>
      <c r="R121" s="43"/>
      <c r="S121" s="43"/>
      <c r="T121" s="43"/>
      <c r="U121" s="43"/>
      <c r="V121" s="44" t="str">
        <f aca="false">IFERROR(IF(COUNT(O121,Q121,S121,U121)=0,"",IF(ISNUMBER(SEARCH("تراكمي",I121)),IF(ISNUMBER(U121),U121,IF(ISNUMBER(S121),S121,IF(ISNUMBER(Q121),Q121,O121))),IF(ISNUMBER(SEARCH("متوسط",I121)),AVERAGE(O121,Q121,S121,U121),IF(AND(ISNUMBER(SEARCH("سنوي",I121)),ISERROR(SEARCH("نصف",I121))),IF(ISNUMBER(U121),U121,""),SUM(O121,Q121,S121,U121))))),"-")</f>
        <v/>
      </c>
      <c r="W121" s="45" t="str">
        <f aca="false">IF(OR(NOT(ISNUMBER(L121)),NOT(ISNUMBER(V121))),"",IFERROR(IF(ISNUMBER(SEARCH("تنازلي",H121)),  IF(V121=0,100,(L121/V121)*100),  (V121/L121)*100),"-"))</f>
        <v/>
      </c>
      <c r="X121" s="45" t="str">
        <f aca="false">IF(AND(ISNUMBER(W121),ISNUMBER(J121)),MIN(W121,100)/100*J121,"")</f>
        <v/>
      </c>
    </row>
    <row r="122" customFormat="false" ht="25.5" hidden="false" customHeight="true" outlineLevel="0" collapsed="false">
      <c r="A122" s="37" t="str">
        <f aca="false">IF(B122="","",COUNTA(B$107:B122)-1)</f>
        <v/>
      </c>
      <c r="B122" s="38"/>
      <c r="C122" s="39"/>
      <c r="D122" s="40" t="str">
        <f aca="false">IFERROR(VLOOKUP($F$3,Data!$A:$B,2,0)&amp;"-F"&amp;TEXT(ROW()-ROW($D$107),"0"),"-F"&amp;TEXT(ROW()-ROW($D$107),"0"))</f>
        <v>ZF-F15</v>
      </c>
      <c r="E122" s="41"/>
      <c r="F122" s="41"/>
      <c r="G122" s="41"/>
      <c r="H122" s="41"/>
      <c r="I122" s="41"/>
      <c r="J122" s="42"/>
      <c r="K122" s="43"/>
      <c r="L122" s="43"/>
      <c r="M122" s="44" t="str">
        <f aca="false">IFERROR(IF(OR(K122="",L122="",ISNUMBER(SEARCH("متوسط",I122)),ISNUMBER(SEARCH("ليكرت",G122)),ISNUMBER(SEARCH("نوعي",E122))),"",K122+L122),"")</f>
        <v/>
      </c>
      <c r="N122" s="43"/>
      <c r="O122" s="43"/>
      <c r="P122" s="43"/>
      <c r="Q122" s="43"/>
      <c r="R122" s="43"/>
      <c r="S122" s="43"/>
      <c r="T122" s="43"/>
      <c r="U122" s="43"/>
      <c r="V122" s="44" t="str">
        <f aca="false">IFERROR(IF(COUNT(O122,Q122,S122,U122)=0,"",IF(ISNUMBER(SEARCH("تراكمي",I122)),IF(ISNUMBER(U122),U122,IF(ISNUMBER(S122),S122,IF(ISNUMBER(Q122),Q122,O122))),IF(ISNUMBER(SEARCH("متوسط",I122)),AVERAGE(O122,Q122,S122,U122),IF(AND(ISNUMBER(SEARCH("سنوي",I122)),ISERROR(SEARCH("نصف",I122))),IF(ISNUMBER(U122),U122,""),SUM(O122,Q122,S122,U122))))),"-")</f>
        <v/>
      </c>
      <c r="W122" s="45" t="str">
        <f aca="false">IF(OR(NOT(ISNUMBER(L122)),NOT(ISNUMBER(V122))),"",IFERROR(IF(ISNUMBER(SEARCH("تنازلي",H122)),  IF(V122=0,100,(L122/V122)*100),  (V122/L122)*100),"-"))</f>
        <v/>
      </c>
      <c r="X122" s="45" t="str">
        <f aca="false">IF(AND(ISNUMBER(W122),ISNUMBER(J122)),MIN(W122,100)/100*J122,"")</f>
        <v/>
      </c>
    </row>
    <row r="123" customFormat="false" ht="25.5" hidden="false" customHeight="true" outlineLevel="0" collapsed="false">
      <c r="A123" s="37" t="str">
        <f aca="false">IF(B123="","",COUNTA(B$107:B123)-1)</f>
        <v/>
      </c>
      <c r="B123" s="38"/>
      <c r="C123" s="39"/>
      <c r="D123" s="40" t="str">
        <f aca="false">IFERROR(VLOOKUP($F$3,Data!$A:$B,2,0)&amp;"-F"&amp;TEXT(ROW()-ROW($D$107),"0"),"-F"&amp;TEXT(ROW()-ROW($D$107),"0"))</f>
        <v>ZF-F16</v>
      </c>
      <c r="E123" s="41"/>
      <c r="F123" s="41"/>
      <c r="G123" s="41"/>
      <c r="H123" s="41"/>
      <c r="I123" s="41"/>
      <c r="J123" s="42"/>
      <c r="K123" s="43"/>
      <c r="L123" s="43"/>
      <c r="M123" s="44" t="str">
        <f aca="false">IFERROR(IF(OR(K123="",L123="",ISNUMBER(SEARCH("متوسط",I123)),ISNUMBER(SEARCH("ليكرت",G123)),ISNUMBER(SEARCH("نوعي",E123))),"",K123+L123),"")</f>
        <v/>
      </c>
      <c r="N123" s="43"/>
      <c r="O123" s="43"/>
      <c r="P123" s="43"/>
      <c r="Q123" s="43"/>
      <c r="R123" s="43"/>
      <c r="S123" s="43"/>
      <c r="T123" s="43"/>
      <c r="U123" s="43"/>
      <c r="V123" s="44" t="str">
        <f aca="false">IFERROR(IF(COUNT(O123,Q123,S123,U123)=0,"",IF(ISNUMBER(SEARCH("تراكمي",I123)),IF(ISNUMBER(U123),U123,IF(ISNUMBER(S123),S123,IF(ISNUMBER(Q123),Q123,O123))),IF(ISNUMBER(SEARCH("متوسط",I123)),AVERAGE(O123,Q123,S123,U123),IF(AND(ISNUMBER(SEARCH("سنوي",I123)),ISERROR(SEARCH("نصف",I123))),IF(ISNUMBER(U123),U123,""),SUM(O123,Q123,S123,U123))))),"-")</f>
        <v/>
      </c>
      <c r="W123" s="45" t="str">
        <f aca="false">IF(OR(NOT(ISNUMBER(L123)),NOT(ISNUMBER(V123))),"",IFERROR(IF(ISNUMBER(SEARCH("تنازلي",H123)),  IF(V123=0,100,(L123/V123)*100),  (V123/L123)*100),"-"))</f>
        <v/>
      </c>
      <c r="X123" s="45" t="str">
        <f aca="false">IF(AND(ISNUMBER(W123),ISNUMBER(J123)),MIN(W123,100)/100*J123,"")</f>
        <v/>
      </c>
    </row>
    <row r="124" customFormat="false" ht="25.5" hidden="false" customHeight="true" outlineLevel="0" collapsed="false">
      <c r="A124" s="37" t="str">
        <f aca="false">IF(B124="","",COUNTA(B$107:B124)-1)</f>
        <v/>
      </c>
      <c r="B124" s="38"/>
      <c r="C124" s="39"/>
      <c r="D124" s="40" t="str">
        <f aca="false">IFERROR(VLOOKUP($F$3,Data!$A:$B,2,0)&amp;"-F"&amp;TEXT(ROW()-ROW($D$107),"0"),"-F"&amp;TEXT(ROW()-ROW($D$107),"0"))</f>
        <v>ZF-F17</v>
      </c>
      <c r="E124" s="41"/>
      <c r="F124" s="41"/>
      <c r="G124" s="41"/>
      <c r="H124" s="41"/>
      <c r="I124" s="41"/>
      <c r="J124" s="42"/>
      <c r="K124" s="43"/>
      <c r="L124" s="43"/>
      <c r="M124" s="44" t="str">
        <f aca="false">IFERROR(IF(OR(K124="",L124="",ISNUMBER(SEARCH("متوسط",I124)),ISNUMBER(SEARCH("ليكرت",G124)),ISNUMBER(SEARCH("نوعي",E124))),"",K124+L124),"")</f>
        <v/>
      </c>
      <c r="N124" s="43"/>
      <c r="O124" s="43"/>
      <c r="P124" s="43"/>
      <c r="Q124" s="43"/>
      <c r="R124" s="43"/>
      <c r="S124" s="43"/>
      <c r="T124" s="43"/>
      <c r="U124" s="43"/>
      <c r="V124" s="44" t="str">
        <f aca="false">IFERROR(IF(COUNT(O124,Q124,S124,U124)=0,"",IF(ISNUMBER(SEARCH("تراكمي",I124)),IF(ISNUMBER(U124),U124,IF(ISNUMBER(S124),S124,IF(ISNUMBER(Q124),Q124,O124))),IF(ISNUMBER(SEARCH("متوسط",I124)),AVERAGE(O124,Q124,S124,U124),IF(AND(ISNUMBER(SEARCH("سنوي",I124)),ISERROR(SEARCH("نصف",I124))),IF(ISNUMBER(U124),U124,""),SUM(O124,Q124,S124,U124))))),"-")</f>
        <v/>
      </c>
      <c r="W124" s="45" t="str">
        <f aca="false">IF(OR(NOT(ISNUMBER(L124)),NOT(ISNUMBER(V124))),"",IFERROR(IF(ISNUMBER(SEARCH("تنازلي",H124)),  IF(V124=0,100,(L124/V124)*100),  (V124/L124)*100),"-"))</f>
        <v/>
      </c>
      <c r="X124" s="45" t="str">
        <f aca="false">IF(AND(ISNUMBER(W124),ISNUMBER(J124)),MIN(W124,100)/100*J124,"")</f>
        <v/>
      </c>
    </row>
    <row r="125" customFormat="false" ht="25.5" hidden="false" customHeight="true" outlineLevel="0" collapsed="false">
      <c r="A125" s="37" t="str">
        <f aca="false">IF(B125="","",COUNTA(B$107:B125)-1)</f>
        <v/>
      </c>
      <c r="B125" s="38"/>
      <c r="C125" s="39"/>
      <c r="D125" s="40" t="str">
        <f aca="false">IFERROR(VLOOKUP($F$3,Data!$A:$B,2,0)&amp;"-F"&amp;TEXT(ROW()-ROW($D$107),"0"),"-F"&amp;TEXT(ROW()-ROW($D$107),"0"))</f>
        <v>ZF-F18</v>
      </c>
      <c r="E125" s="41"/>
      <c r="F125" s="41"/>
      <c r="G125" s="41"/>
      <c r="H125" s="41"/>
      <c r="I125" s="41"/>
      <c r="J125" s="42"/>
      <c r="K125" s="43"/>
      <c r="L125" s="43"/>
      <c r="M125" s="44" t="str">
        <f aca="false">IFERROR(IF(OR(K125="",L125="",ISNUMBER(SEARCH("متوسط",I125)),ISNUMBER(SEARCH("ليكرت",G125)),ISNUMBER(SEARCH("نوعي",E125))),"",K125+L125),"")</f>
        <v/>
      </c>
      <c r="N125" s="43"/>
      <c r="O125" s="43"/>
      <c r="P125" s="43"/>
      <c r="Q125" s="43"/>
      <c r="R125" s="43"/>
      <c r="S125" s="43"/>
      <c r="T125" s="43"/>
      <c r="U125" s="43"/>
      <c r="V125" s="44" t="str">
        <f aca="false">IFERROR(IF(COUNT(O125,Q125,S125,U125)=0,"",IF(ISNUMBER(SEARCH("تراكمي",I125)),IF(ISNUMBER(U125),U125,IF(ISNUMBER(S125),S125,IF(ISNUMBER(Q125),Q125,O125))),IF(ISNUMBER(SEARCH("متوسط",I125)),AVERAGE(O125,Q125,S125,U125),IF(AND(ISNUMBER(SEARCH("سنوي",I125)),ISERROR(SEARCH("نصف",I125))),IF(ISNUMBER(U125),U125,""),SUM(O125,Q125,S125,U125))))),"-")</f>
        <v/>
      </c>
      <c r="W125" s="45" t="str">
        <f aca="false">IF(OR(NOT(ISNUMBER(L125)),NOT(ISNUMBER(V125))),"",IFERROR(IF(ISNUMBER(SEARCH("تنازلي",H125)),  IF(V125=0,100,(L125/V125)*100),  (V125/L125)*100),"-"))</f>
        <v/>
      </c>
      <c r="X125" s="45" t="str">
        <f aca="false">IF(AND(ISNUMBER(W125),ISNUMBER(J125)),MIN(W125,100)/100*J125,"")</f>
        <v/>
      </c>
    </row>
    <row r="126" customFormat="false" ht="25.5" hidden="false" customHeight="true" outlineLevel="0" collapsed="false">
      <c r="A126" s="37" t="str">
        <f aca="false">IF(B126="","",COUNTA(B$107:B126)-1)</f>
        <v/>
      </c>
      <c r="B126" s="38"/>
      <c r="C126" s="39"/>
      <c r="D126" s="40" t="str">
        <f aca="false">IFERROR(VLOOKUP($F$3,Data!$A:$B,2,0)&amp;"-F"&amp;TEXT(ROW()-ROW($D$107),"0"),"-F"&amp;TEXT(ROW()-ROW($D$107),"0"))</f>
        <v>ZF-F19</v>
      </c>
      <c r="E126" s="41"/>
      <c r="F126" s="41"/>
      <c r="G126" s="41"/>
      <c r="H126" s="41"/>
      <c r="I126" s="41"/>
      <c r="J126" s="42"/>
      <c r="K126" s="43"/>
      <c r="L126" s="43"/>
      <c r="M126" s="44" t="str">
        <f aca="false">IFERROR(IF(OR(K126="",L126="",ISNUMBER(SEARCH("متوسط",I126)),ISNUMBER(SEARCH("ليكرت",G126)),ISNUMBER(SEARCH("نوعي",E126))),"",K126+L126),"")</f>
        <v/>
      </c>
      <c r="N126" s="43"/>
      <c r="O126" s="43"/>
      <c r="P126" s="43"/>
      <c r="Q126" s="43"/>
      <c r="R126" s="43"/>
      <c r="S126" s="43"/>
      <c r="T126" s="43"/>
      <c r="U126" s="43"/>
      <c r="V126" s="44" t="str">
        <f aca="false">IFERROR(IF(COUNT(O126,Q126,S126,U126)=0,"",IF(ISNUMBER(SEARCH("تراكمي",I126)),IF(ISNUMBER(U126),U126,IF(ISNUMBER(S126),S126,IF(ISNUMBER(Q126),Q126,O126))),IF(ISNUMBER(SEARCH("متوسط",I126)),AVERAGE(O126,Q126,S126,U126),IF(AND(ISNUMBER(SEARCH("سنوي",I126)),ISERROR(SEARCH("نصف",I126))),IF(ISNUMBER(U126),U126,""),SUM(O126,Q126,S126,U126))))),"-")</f>
        <v/>
      </c>
      <c r="W126" s="45" t="str">
        <f aca="false">IF(OR(NOT(ISNUMBER(L126)),NOT(ISNUMBER(V126))),"",IFERROR(IF(ISNUMBER(SEARCH("تنازلي",H126)),  IF(V126=0,100,(L126/V126)*100),  (V126/L126)*100),"-"))</f>
        <v/>
      </c>
      <c r="X126" s="45" t="str">
        <f aca="false">IF(AND(ISNUMBER(W126),ISNUMBER(J126)),MIN(W126,100)/100*J126,"")</f>
        <v/>
      </c>
    </row>
    <row r="127" customFormat="false" ht="25.5" hidden="false" customHeight="true" outlineLevel="0" collapsed="false">
      <c r="A127" s="37" t="str">
        <f aca="false">IF(B127="","",COUNTA(B$107:B127)-1)</f>
        <v/>
      </c>
      <c r="B127" s="38"/>
      <c r="C127" s="39"/>
      <c r="D127" s="40" t="str">
        <f aca="false">IFERROR(VLOOKUP($F$3,Data!$A:$B,2,0)&amp;"-F"&amp;TEXT(ROW()-ROW($D$107),"0"),"-F"&amp;TEXT(ROW()-ROW($D$107),"0"))</f>
        <v>ZF-F20</v>
      </c>
      <c r="E127" s="41"/>
      <c r="F127" s="41"/>
      <c r="G127" s="41"/>
      <c r="H127" s="41"/>
      <c r="I127" s="41"/>
      <c r="J127" s="42"/>
      <c r="K127" s="43"/>
      <c r="L127" s="43"/>
      <c r="M127" s="44" t="str">
        <f aca="false">IFERROR(IF(OR(K127="",L127="",ISNUMBER(SEARCH("متوسط",I127)),ISNUMBER(SEARCH("ليكرت",G127)),ISNUMBER(SEARCH("نوعي",E127))),"",K127+L127),"")</f>
        <v/>
      </c>
      <c r="N127" s="43"/>
      <c r="O127" s="43"/>
      <c r="P127" s="43"/>
      <c r="Q127" s="43"/>
      <c r="R127" s="43"/>
      <c r="S127" s="43"/>
      <c r="T127" s="43"/>
      <c r="U127" s="43"/>
      <c r="V127" s="44" t="str">
        <f aca="false">IFERROR(IF(COUNT(O127,Q127,S127,U127)=0,"",IF(ISNUMBER(SEARCH("تراكمي",I127)),IF(ISNUMBER(U127),U127,IF(ISNUMBER(S127),S127,IF(ISNUMBER(Q127),Q127,O127))),IF(ISNUMBER(SEARCH("متوسط",I127)),AVERAGE(O127,Q127,S127,U127),IF(AND(ISNUMBER(SEARCH("سنوي",I127)),ISERROR(SEARCH("نصف",I127))),IF(ISNUMBER(U127),U127,""),SUM(O127,Q127,S127,U127))))),"-")</f>
        <v/>
      </c>
      <c r="W127" s="45" t="str">
        <f aca="false">IF(OR(NOT(ISNUMBER(L127)),NOT(ISNUMBER(V127))),"",IFERROR(IF(ISNUMBER(SEARCH("تنازلي",H127)),  IF(V127=0,100,(L127/V127)*100),  (V127/L127)*100),"-"))</f>
        <v/>
      </c>
      <c r="X127" s="45" t="str">
        <f aca="false">IF(AND(ISNUMBER(W127),ISNUMBER(J127)),MIN(W127,100)/100*J127,"")</f>
        <v/>
      </c>
    </row>
    <row r="128" customFormat="false" ht="25.5" hidden="false" customHeight="true" outlineLevel="0" collapsed="false">
      <c r="A128" s="37" t="str">
        <f aca="false">IF(B128="","",COUNTA(B$107:B128)-1)</f>
        <v/>
      </c>
      <c r="B128" s="38"/>
      <c r="C128" s="39"/>
      <c r="D128" s="40" t="str">
        <f aca="false">IFERROR(VLOOKUP($F$3,Data!$A:$B,2,0)&amp;"-F"&amp;TEXT(ROW()-ROW($D$107),"0"),"-F"&amp;TEXT(ROW()-ROW($D$107),"0"))</f>
        <v>ZF-F21</v>
      </c>
      <c r="E128" s="41"/>
      <c r="F128" s="41"/>
      <c r="G128" s="41"/>
      <c r="H128" s="41"/>
      <c r="I128" s="41"/>
      <c r="J128" s="42"/>
      <c r="K128" s="43"/>
      <c r="L128" s="43"/>
      <c r="M128" s="44" t="str">
        <f aca="false">IFERROR(IF(OR(K128="",L128="",ISNUMBER(SEARCH("متوسط",I128)),ISNUMBER(SEARCH("ليكرت",G128)),ISNUMBER(SEARCH("نوعي",E128))),"",K128+L128),"")</f>
        <v/>
      </c>
      <c r="N128" s="43"/>
      <c r="O128" s="43"/>
      <c r="P128" s="43"/>
      <c r="Q128" s="43"/>
      <c r="R128" s="43"/>
      <c r="S128" s="43"/>
      <c r="T128" s="43"/>
      <c r="U128" s="43"/>
      <c r="V128" s="44" t="str">
        <f aca="false">IFERROR(IF(COUNT(O128,Q128,S128,U128)=0,"",IF(ISNUMBER(SEARCH("تراكمي",I128)),IF(ISNUMBER(U128),U128,IF(ISNUMBER(S128),S128,IF(ISNUMBER(Q128),Q128,O128))),IF(ISNUMBER(SEARCH("متوسط",I128)),AVERAGE(O128,Q128,S128,U128),IF(AND(ISNUMBER(SEARCH("سنوي",I128)),ISERROR(SEARCH("نصف",I128))),IF(ISNUMBER(U128),U128,""),SUM(O128,Q128,S128,U128))))),"-")</f>
        <v/>
      </c>
      <c r="W128" s="45" t="str">
        <f aca="false">IF(OR(NOT(ISNUMBER(L128)),NOT(ISNUMBER(V128))),"",IFERROR(IF(ISNUMBER(SEARCH("تنازلي",H128)),  IF(V128=0,100,(L128/V128)*100),  (V128/L128)*100),"-"))</f>
        <v/>
      </c>
      <c r="X128" s="45" t="str">
        <f aca="false">IF(AND(ISNUMBER(W128),ISNUMBER(J128)),MIN(W128,100)/100*J128,"")</f>
        <v/>
      </c>
    </row>
    <row r="129" customFormat="false" ht="25.5" hidden="false" customHeight="true" outlineLevel="0" collapsed="false">
      <c r="A129" s="37" t="str">
        <f aca="false">IF(B129="","",COUNTA(B$107:B129)-1)</f>
        <v/>
      </c>
      <c r="B129" s="38"/>
      <c r="C129" s="39"/>
      <c r="D129" s="40" t="str">
        <f aca="false">IFERROR(VLOOKUP($F$3,Data!$A:$B,2,0)&amp;"-F"&amp;TEXT(ROW()-ROW($D$107),"0"),"-F"&amp;TEXT(ROW()-ROW($D$107),"0"))</f>
        <v>ZF-F22</v>
      </c>
      <c r="E129" s="41"/>
      <c r="F129" s="41"/>
      <c r="G129" s="41"/>
      <c r="H129" s="41"/>
      <c r="I129" s="41"/>
      <c r="J129" s="42"/>
      <c r="K129" s="43"/>
      <c r="L129" s="43"/>
      <c r="M129" s="44" t="str">
        <f aca="false">IFERROR(IF(OR(K129="",L129="",ISNUMBER(SEARCH("متوسط",I129)),ISNUMBER(SEARCH("ليكرت",G129)),ISNUMBER(SEARCH("نوعي",E129))),"",K129+L129),"")</f>
        <v/>
      </c>
      <c r="N129" s="43"/>
      <c r="O129" s="43"/>
      <c r="P129" s="43"/>
      <c r="Q129" s="43"/>
      <c r="R129" s="43"/>
      <c r="S129" s="43"/>
      <c r="T129" s="43"/>
      <c r="U129" s="43"/>
      <c r="V129" s="44" t="str">
        <f aca="false">IFERROR(IF(COUNT(O129,Q129,S129,U129)=0,"",IF(ISNUMBER(SEARCH("تراكمي",I129)),IF(ISNUMBER(U129),U129,IF(ISNUMBER(S129),S129,IF(ISNUMBER(Q129),Q129,O129))),IF(ISNUMBER(SEARCH("متوسط",I129)),AVERAGE(O129,Q129,S129,U129),IF(AND(ISNUMBER(SEARCH("سنوي",I129)),ISERROR(SEARCH("نصف",I129))),IF(ISNUMBER(U129),U129,""),SUM(O129,Q129,S129,U129))))),"-")</f>
        <v/>
      </c>
      <c r="W129" s="45" t="str">
        <f aca="false">IF(OR(NOT(ISNUMBER(L129)),NOT(ISNUMBER(V129))),"",IFERROR(IF(ISNUMBER(SEARCH("تنازلي",H129)),  IF(V129=0,100,(L129/V129)*100),  (V129/L129)*100),"-"))</f>
        <v/>
      </c>
      <c r="X129" s="45" t="str">
        <f aca="false">IF(AND(ISNUMBER(W129),ISNUMBER(J129)),MIN(W129,100)/100*J129,"")</f>
        <v/>
      </c>
    </row>
    <row r="130" customFormat="false" ht="25.5" hidden="false" customHeight="true" outlineLevel="0" collapsed="false">
      <c r="A130" s="37" t="str">
        <f aca="false">IF(B130="","",COUNTA(B$107:B130)-1)</f>
        <v/>
      </c>
      <c r="B130" s="38"/>
      <c r="C130" s="39"/>
      <c r="D130" s="40" t="str">
        <f aca="false">IFERROR(VLOOKUP($F$3,Data!$A:$B,2,0)&amp;"-F"&amp;TEXT(ROW()-ROW($D$107),"0"),"-F"&amp;TEXT(ROW()-ROW($D$107),"0"))</f>
        <v>ZF-F23</v>
      </c>
      <c r="E130" s="41"/>
      <c r="F130" s="41"/>
      <c r="G130" s="41"/>
      <c r="H130" s="41"/>
      <c r="I130" s="41"/>
      <c r="J130" s="42"/>
      <c r="K130" s="43"/>
      <c r="L130" s="43"/>
      <c r="M130" s="44" t="str">
        <f aca="false">IFERROR(IF(OR(K130="",L130="",ISNUMBER(SEARCH("متوسط",I130)),ISNUMBER(SEARCH("ليكرت",G130)),ISNUMBER(SEARCH("نوعي",E130))),"",K130+L130),"")</f>
        <v/>
      </c>
      <c r="N130" s="43"/>
      <c r="O130" s="43"/>
      <c r="P130" s="43"/>
      <c r="Q130" s="43"/>
      <c r="R130" s="43"/>
      <c r="S130" s="43"/>
      <c r="T130" s="43"/>
      <c r="U130" s="43"/>
      <c r="V130" s="44" t="str">
        <f aca="false">IFERROR(IF(COUNT(O130,Q130,S130,U130)=0,"",IF(ISNUMBER(SEARCH("تراكمي",I130)),IF(ISNUMBER(U130),U130,IF(ISNUMBER(S130),S130,IF(ISNUMBER(Q130),Q130,O130))),IF(ISNUMBER(SEARCH("متوسط",I130)),AVERAGE(O130,Q130,S130,U130),IF(AND(ISNUMBER(SEARCH("سنوي",I130)),ISERROR(SEARCH("نصف",I130))),IF(ISNUMBER(U130),U130,""),SUM(O130,Q130,S130,U130))))),"-")</f>
        <v/>
      </c>
      <c r="W130" s="45" t="str">
        <f aca="false">IF(OR(NOT(ISNUMBER(L130)),NOT(ISNUMBER(V130))),"",IFERROR(IF(ISNUMBER(SEARCH("تنازلي",H130)),  IF(V130=0,100,(L130/V130)*100),  (V130/L130)*100),"-"))</f>
        <v/>
      </c>
      <c r="X130" s="45" t="str">
        <f aca="false">IF(AND(ISNUMBER(W130),ISNUMBER(J130)),MIN(W130,100)/100*J130,"")</f>
        <v/>
      </c>
    </row>
    <row r="131" customFormat="false" ht="25.5" hidden="false" customHeight="true" outlineLevel="0" collapsed="false">
      <c r="A131" s="37" t="str">
        <f aca="false">IF(B131="","",COUNTA(B$107:B131)-1)</f>
        <v/>
      </c>
      <c r="B131" s="38"/>
      <c r="C131" s="39"/>
      <c r="D131" s="40" t="str">
        <f aca="false">IFERROR(VLOOKUP($F$3,Data!$A:$B,2,0)&amp;"-F"&amp;TEXT(ROW()-ROW($D$107),"0"),"-F"&amp;TEXT(ROW()-ROW($D$107),"0"))</f>
        <v>ZF-F24</v>
      </c>
      <c r="E131" s="41"/>
      <c r="F131" s="41"/>
      <c r="G131" s="41"/>
      <c r="H131" s="41"/>
      <c r="I131" s="41"/>
      <c r="J131" s="42"/>
      <c r="K131" s="43"/>
      <c r="L131" s="43"/>
      <c r="M131" s="44" t="str">
        <f aca="false">IFERROR(IF(OR(K131="",L131="",ISNUMBER(SEARCH("متوسط",I131)),ISNUMBER(SEARCH("ليكرت",G131)),ISNUMBER(SEARCH("نوعي",E131))),"",K131+L131),"")</f>
        <v/>
      </c>
      <c r="N131" s="43"/>
      <c r="O131" s="43"/>
      <c r="P131" s="43"/>
      <c r="Q131" s="43"/>
      <c r="R131" s="43"/>
      <c r="S131" s="43"/>
      <c r="T131" s="43"/>
      <c r="U131" s="43"/>
      <c r="V131" s="44" t="str">
        <f aca="false">IFERROR(IF(COUNT(O131,Q131,S131,U131)=0,"",IF(ISNUMBER(SEARCH("تراكمي",I131)),IF(ISNUMBER(U131),U131,IF(ISNUMBER(S131),S131,IF(ISNUMBER(Q131),Q131,O131))),IF(ISNUMBER(SEARCH("متوسط",I131)),AVERAGE(O131,Q131,S131,U131),IF(AND(ISNUMBER(SEARCH("سنوي",I131)),ISERROR(SEARCH("نصف",I131))),IF(ISNUMBER(U131),U131,""),SUM(O131,Q131,S131,U131))))),"-")</f>
        <v/>
      </c>
      <c r="W131" s="45" t="str">
        <f aca="false">IF(OR(NOT(ISNUMBER(L131)),NOT(ISNUMBER(V131))),"",IFERROR(IF(ISNUMBER(SEARCH("تنازلي",H131)),  IF(V131=0,100,(L131/V131)*100),  (V131/L131)*100),"-"))</f>
        <v/>
      </c>
      <c r="X131" s="45" t="str">
        <f aca="false">IF(AND(ISNUMBER(W131),ISNUMBER(J131)),MIN(W131,100)/100*J131,"")</f>
        <v/>
      </c>
    </row>
    <row r="132" customFormat="false" ht="25.5" hidden="false" customHeight="true" outlineLevel="0" collapsed="false">
      <c r="A132" s="37" t="str">
        <f aca="false">IF(B132="","",COUNTA(B$107:B132)-1)</f>
        <v/>
      </c>
      <c r="B132" s="38"/>
      <c r="C132" s="39"/>
      <c r="D132" s="40" t="str">
        <f aca="false">IFERROR(VLOOKUP($F$3,Data!$A:$B,2,0)&amp;"-F"&amp;TEXT(ROW()-ROW($D$107),"0"),"-F"&amp;TEXT(ROW()-ROW($D$107),"0"))</f>
        <v>ZF-F25</v>
      </c>
      <c r="E132" s="41"/>
      <c r="F132" s="41"/>
      <c r="G132" s="41"/>
      <c r="H132" s="41"/>
      <c r="I132" s="41"/>
      <c r="J132" s="42"/>
      <c r="K132" s="43"/>
      <c r="L132" s="43"/>
      <c r="M132" s="44" t="str">
        <f aca="false">IFERROR(IF(OR(K132="",L132="",ISNUMBER(SEARCH("متوسط",I132)),ISNUMBER(SEARCH("ليكرت",G132)),ISNUMBER(SEARCH("نوعي",E132))),"",K132+L132),"")</f>
        <v/>
      </c>
      <c r="N132" s="43"/>
      <c r="O132" s="43"/>
      <c r="P132" s="43"/>
      <c r="Q132" s="43"/>
      <c r="R132" s="43"/>
      <c r="S132" s="43"/>
      <c r="T132" s="43"/>
      <c r="U132" s="43"/>
      <c r="V132" s="44" t="str">
        <f aca="false">IFERROR(IF(COUNT(O132,Q132,S132,U132)=0,"",IF(ISNUMBER(SEARCH("تراكمي",I132)),IF(ISNUMBER(U132),U132,IF(ISNUMBER(S132),S132,IF(ISNUMBER(Q132),Q132,O132))),IF(ISNUMBER(SEARCH("متوسط",I132)),AVERAGE(O132,Q132,S132,U132),IF(AND(ISNUMBER(SEARCH("سنوي",I132)),ISERROR(SEARCH("نصف",I132))),IF(ISNUMBER(U132),U132,""),SUM(O132,Q132,S132,U132))))),"-")</f>
        <v/>
      </c>
      <c r="W132" s="45" t="str">
        <f aca="false">IF(OR(NOT(ISNUMBER(L132)),NOT(ISNUMBER(V132))),"",IFERROR(IF(ISNUMBER(SEARCH("تنازلي",H132)),  IF(V132=0,100,(L132/V132)*100),  (V132/L132)*100),"-"))</f>
        <v/>
      </c>
      <c r="X132" s="45" t="str">
        <f aca="false">IF(AND(ISNUMBER(W132),ISNUMBER(J132)),MIN(W132,100)/100*J132,"")</f>
        <v/>
      </c>
    </row>
    <row r="133" customFormat="false" ht="25.5" hidden="false" customHeight="true" outlineLevel="0" collapsed="false">
      <c r="A133" s="37" t="str">
        <f aca="false">IF(B133="","",COUNTA(B$107:B133)-1)</f>
        <v/>
      </c>
      <c r="B133" s="38"/>
      <c r="C133" s="39"/>
      <c r="D133" s="40" t="str">
        <f aca="false">IFERROR(VLOOKUP($F$3,Data!$A:$B,2,0)&amp;"-F"&amp;TEXT(ROW()-ROW($D$107),"0"),"-F"&amp;TEXT(ROW()-ROW($D$107),"0"))</f>
        <v>ZF-F26</v>
      </c>
      <c r="E133" s="41"/>
      <c r="F133" s="41"/>
      <c r="G133" s="41"/>
      <c r="H133" s="41"/>
      <c r="I133" s="41"/>
      <c r="J133" s="42"/>
      <c r="K133" s="43"/>
      <c r="L133" s="43"/>
      <c r="M133" s="44" t="str">
        <f aca="false">IFERROR(IF(OR(K133="",L133="",ISNUMBER(SEARCH("متوسط",I133)),ISNUMBER(SEARCH("ليكرت",G133)),ISNUMBER(SEARCH("نوعي",E133))),"",K133+L133),"")</f>
        <v/>
      </c>
      <c r="N133" s="43"/>
      <c r="O133" s="43"/>
      <c r="P133" s="43"/>
      <c r="Q133" s="43"/>
      <c r="R133" s="43"/>
      <c r="S133" s="43"/>
      <c r="T133" s="43"/>
      <c r="U133" s="43"/>
      <c r="V133" s="44" t="str">
        <f aca="false">IFERROR(IF(COUNT(O133,Q133,S133,U133)=0,"",IF(ISNUMBER(SEARCH("تراكمي",I133)),IF(ISNUMBER(U133),U133,IF(ISNUMBER(S133),S133,IF(ISNUMBER(Q133),Q133,O133))),IF(ISNUMBER(SEARCH("متوسط",I133)),AVERAGE(O133,Q133,S133,U133),IF(AND(ISNUMBER(SEARCH("سنوي",I133)),ISERROR(SEARCH("نصف",I133))),IF(ISNUMBER(U133),U133,""),SUM(O133,Q133,S133,U133))))),"-")</f>
        <v/>
      </c>
      <c r="W133" s="45" t="str">
        <f aca="false">IF(OR(NOT(ISNUMBER(L133)),NOT(ISNUMBER(V133))),"",IFERROR(IF(ISNUMBER(SEARCH("تنازلي",H133)),  IF(V133=0,100,(L133/V133)*100),  (V133/L133)*100),"-"))</f>
        <v/>
      </c>
      <c r="X133" s="45" t="str">
        <f aca="false">IF(AND(ISNUMBER(W133),ISNUMBER(J133)),MIN(W133,100)/100*J133,"")</f>
        <v/>
      </c>
    </row>
    <row r="134" customFormat="false" ht="25.5" hidden="false" customHeight="true" outlineLevel="0" collapsed="false">
      <c r="A134" s="37" t="str">
        <f aca="false">IF(B134="","",COUNTA(B$107:B134)-1)</f>
        <v/>
      </c>
      <c r="B134" s="38"/>
      <c r="C134" s="39"/>
      <c r="D134" s="40" t="str">
        <f aca="false">IFERROR(VLOOKUP($F$3,Data!$A:$B,2,0)&amp;"-F"&amp;TEXT(ROW()-ROW($D$107),"0"),"-F"&amp;TEXT(ROW()-ROW($D$107),"0"))</f>
        <v>ZF-F27</v>
      </c>
      <c r="E134" s="41"/>
      <c r="F134" s="41"/>
      <c r="G134" s="41"/>
      <c r="H134" s="41"/>
      <c r="I134" s="41"/>
      <c r="J134" s="42"/>
      <c r="K134" s="43"/>
      <c r="L134" s="43"/>
      <c r="M134" s="44" t="str">
        <f aca="false">IFERROR(IF(OR(K134="",L134="",ISNUMBER(SEARCH("متوسط",I134)),ISNUMBER(SEARCH("ليكرت",G134)),ISNUMBER(SEARCH("نوعي",E134))),"",K134+L134),"")</f>
        <v/>
      </c>
      <c r="N134" s="43"/>
      <c r="O134" s="43"/>
      <c r="P134" s="43"/>
      <c r="Q134" s="43"/>
      <c r="R134" s="43"/>
      <c r="S134" s="43"/>
      <c r="T134" s="43"/>
      <c r="U134" s="43"/>
      <c r="V134" s="44" t="str">
        <f aca="false">IFERROR(IF(COUNT(O134,Q134,S134,U134)=0,"",IF(ISNUMBER(SEARCH("تراكمي",I134)),IF(ISNUMBER(U134),U134,IF(ISNUMBER(S134),S134,IF(ISNUMBER(Q134),Q134,O134))),IF(ISNUMBER(SEARCH("متوسط",I134)),AVERAGE(O134,Q134,S134,U134),IF(AND(ISNUMBER(SEARCH("سنوي",I134)),ISERROR(SEARCH("نصف",I134))),IF(ISNUMBER(U134),U134,""),SUM(O134,Q134,S134,U134))))),"-")</f>
        <v/>
      </c>
      <c r="W134" s="45" t="str">
        <f aca="false">IF(OR(NOT(ISNUMBER(L134)),NOT(ISNUMBER(V134))),"",IFERROR(IF(ISNUMBER(SEARCH("تنازلي",H134)),  IF(V134=0,100,(L134/V134)*100),  (V134/L134)*100),"-"))</f>
        <v/>
      </c>
      <c r="X134" s="45" t="str">
        <f aca="false">IF(AND(ISNUMBER(W134),ISNUMBER(J134)),MIN(W134,100)/100*J134,"")</f>
        <v/>
      </c>
    </row>
    <row r="135" customFormat="false" ht="25.5" hidden="false" customHeight="true" outlineLevel="0" collapsed="false">
      <c r="A135" s="37" t="str">
        <f aca="false">IF(B135="","",COUNTA(B$107:B135)-1)</f>
        <v/>
      </c>
      <c r="B135" s="38"/>
      <c r="C135" s="39"/>
      <c r="D135" s="40" t="str">
        <f aca="false">IFERROR(VLOOKUP($F$3,Data!$A:$B,2,0)&amp;"-F"&amp;TEXT(ROW()-ROW($D$107),"0"),"-F"&amp;TEXT(ROW()-ROW($D$107),"0"))</f>
        <v>ZF-F28</v>
      </c>
      <c r="E135" s="41"/>
      <c r="F135" s="41"/>
      <c r="G135" s="41"/>
      <c r="H135" s="41"/>
      <c r="I135" s="41"/>
      <c r="J135" s="42"/>
      <c r="K135" s="43"/>
      <c r="L135" s="43"/>
      <c r="M135" s="44" t="str">
        <f aca="false">IFERROR(IF(OR(K135="",L135="",ISNUMBER(SEARCH("متوسط",I135)),ISNUMBER(SEARCH("ليكرت",G135)),ISNUMBER(SEARCH("نوعي",E135))),"",K135+L135),"")</f>
        <v/>
      </c>
      <c r="N135" s="43"/>
      <c r="O135" s="43"/>
      <c r="P135" s="43"/>
      <c r="Q135" s="43"/>
      <c r="R135" s="43"/>
      <c r="S135" s="43"/>
      <c r="T135" s="43"/>
      <c r="U135" s="43"/>
      <c r="V135" s="44" t="str">
        <f aca="false">IFERROR(IF(COUNT(O135,Q135,S135,U135)=0,"",IF(ISNUMBER(SEARCH("تراكمي",I135)),IF(ISNUMBER(U135),U135,IF(ISNUMBER(S135),S135,IF(ISNUMBER(Q135),Q135,O135))),IF(ISNUMBER(SEARCH("متوسط",I135)),AVERAGE(O135,Q135,S135,U135),IF(AND(ISNUMBER(SEARCH("سنوي",I135)),ISERROR(SEARCH("نصف",I135))),IF(ISNUMBER(U135),U135,""),SUM(O135,Q135,S135,U135))))),"-")</f>
        <v/>
      </c>
      <c r="W135" s="45" t="str">
        <f aca="false">IF(OR(NOT(ISNUMBER(L135)),NOT(ISNUMBER(V135))),"",IFERROR(IF(ISNUMBER(SEARCH("تنازلي",H135)),  IF(V135=0,100,(L135/V135)*100),  (V135/L135)*100),"-"))</f>
        <v/>
      </c>
      <c r="X135" s="45" t="str">
        <f aca="false">IF(AND(ISNUMBER(W135),ISNUMBER(J135)),MIN(W135,100)/100*J135,"")</f>
        <v/>
      </c>
    </row>
    <row r="136" customFormat="false" ht="25.5" hidden="false" customHeight="true" outlineLevel="0" collapsed="false">
      <c r="A136" s="37" t="str">
        <f aca="false">IF(B136="","",COUNTA(B$107:B136)-1)</f>
        <v/>
      </c>
      <c r="B136" s="38"/>
      <c r="C136" s="39"/>
      <c r="D136" s="40" t="str">
        <f aca="false">IFERROR(VLOOKUP($F$3,Data!$A:$B,2,0)&amp;"-F"&amp;TEXT(ROW()-ROW($D$107),"0"),"-F"&amp;TEXT(ROW()-ROW($D$107),"0"))</f>
        <v>ZF-F29</v>
      </c>
      <c r="E136" s="41"/>
      <c r="F136" s="41"/>
      <c r="G136" s="41"/>
      <c r="H136" s="41"/>
      <c r="I136" s="41"/>
      <c r="J136" s="42"/>
      <c r="K136" s="43"/>
      <c r="L136" s="43"/>
      <c r="M136" s="44" t="str">
        <f aca="false">IFERROR(IF(OR(K136="",L136="",ISNUMBER(SEARCH("متوسط",I136)),ISNUMBER(SEARCH("ليكرت",G136)),ISNUMBER(SEARCH("نوعي",E136))),"",K136+L136),"")</f>
        <v/>
      </c>
      <c r="N136" s="43"/>
      <c r="O136" s="43"/>
      <c r="P136" s="43"/>
      <c r="Q136" s="43"/>
      <c r="R136" s="43"/>
      <c r="S136" s="43"/>
      <c r="T136" s="43"/>
      <c r="U136" s="43"/>
      <c r="V136" s="44" t="str">
        <f aca="false">IFERROR(IF(COUNT(O136,Q136,S136,U136)=0,"",IF(ISNUMBER(SEARCH("تراكمي",I136)),IF(ISNUMBER(U136),U136,IF(ISNUMBER(S136),S136,IF(ISNUMBER(Q136),Q136,O136))),IF(ISNUMBER(SEARCH("متوسط",I136)),AVERAGE(O136,Q136,S136,U136),IF(AND(ISNUMBER(SEARCH("سنوي",I136)),ISERROR(SEARCH("نصف",I136))),IF(ISNUMBER(U136),U136,""),SUM(O136,Q136,S136,U136))))),"-")</f>
        <v/>
      </c>
      <c r="W136" s="45" t="str">
        <f aca="false">IF(OR(NOT(ISNUMBER(L136)),NOT(ISNUMBER(V136))),"",IFERROR(IF(ISNUMBER(SEARCH("تنازلي",H136)),  IF(V136=0,100,(L136/V136)*100),  (V136/L136)*100),"-"))</f>
        <v/>
      </c>
      <c r="X136" s="45" t="str">
        <f aca="false">IF(AND(ISNUMBER(W136),ISNUMBER(J136)),MIN(W136,100)/100*J136,"")</f>
        <v/>
      </c>
    </row>
    <row r="137" customFormat="false" ht="25.5" hidden="false" customHeight="true" outlineLevel="0" collapsed="false">
      <c r="A137" s="37" t="str">
        <f aca="false">IF(B137="","",COUNTA(B$107:B137)-1)</f>
        <v/>
      </c>
      <c r="B137" s="38"/>
      <c r="C137" s="39"/>
      <c r="D137" s="40" t="str">
        <f aca="false">IFERROR(VLOOKUP($F$3,Data!$A:$B,2,0)&amp;"-F"&amp;TEXT(ROW()-ROW($D$107),"0"),"-F"&amp;TEXT(ROW()-ROW($D$107),"0"))</f>
        <v>ZF-F30</v>
      </c>
      <c r="E137" s="41"/>
      <c r="F137" s="41"/>
      <c r="G137" s="41"/>
      <c r="H137" s="41"/>
      <c r="I137" s="41"/>
      <c r="J137" s="42"/>
      <c r="K137" s="43"/>
      <c r="L137" s="43"/>
      <c r="M137" s="44" t="str">
        <f aca="false">IFERROR(IF(OR(K137="",L137="",ISNUMBER(SEARCH("متوسط",I137)),ISNUMBER(SEARCH("ليكرت",G137)),ISNUMBER(SEARCH("نوعي",E137))),"",K137+L137),"")</f>
        <v/>
      </c>
      <c r="N137" s="43"/>
      <c r="O137" s="43"/>
      <c r="P137" s="43"/>
      <c r="Q137" s="43"/>
      <c r="R137" s="43"/>
      <c r="S137" s="43"/>
      <c r="T137" s="43"/>
      <c r="U137" s="43"/>
      <c r="V137" s="44" t="str">
        <f aca="false">IFERROR(IF(COUNT(O137,Q137,S137,U137)=0,"",IF(ISNUMBER(SEARCH("تراكمي",I137)),IF(ISNUMBER(U137),U137,IF(ISNUMBER(S137),S137,IF(ISNUMBER(Q137),Q137,O137))),IF(ISNUMBER(SEARCH("متوسط",I137)),AVERAGE(O137,Q137,S137,U137),IF(AND(ISNUMBER(SEARCH("سنوي",I137)),ISERROR(SEARCH("نصف",I137))),IF(ISNUMBER(U137),U137,""),SUM(O137,Q137,S137,U137))))),"-")</f>
        <v/>
      </c>
      <c r="W137" s="45" t="str">
        <f aca="false">IF(OR(NOT(ISNUMBER(L137)),NOT(ISNUMBER(V137))),"",IFERROR(IF(ISNUMBER(SEARCH("تنازلي",H137)),  IF(V137=0,100,(L137/V137)*100),  (V137/L137)*100),"-"))</f>
        <v/>
      </c>
      <c r="X137" s="45" t="str">
        <f aca="false">IF(AND(ISNUMBER(W137),ISNUMBER(J137)),MIN(W137,100)/100*J137,"")</f>
        <v/>
      </c>
    </row>
    <row r="138" customFormat="false" ht="20.25" hidden="false" customHeight="true" outlineLevel="0" collapsed="false">
      <c r="A138" s="46" t="s">
        <v>398</v>
      </c>
      <c r="B138" s="46"/>
      <c r="C138" s="46"/>
      <c r="D138" s="46"/>
      <c r="E138" s="46"/>
      <c r="F138" s="46"/>
      <c r="G138" s="46"/>
      <c r="H138" s="46"/>
      <c r="I138" s="46"/>
      <c r="J138" s="47" t="n">
        <f aca="false">SUM(J107:INDEX(J:J,ROW()-1))</f>
        <v>25</v>
      </c>
      <c r="K138" s="48"/>
      <c r="L138" s="48"/>
      <c r="M138" s="48"/>
      <c r="N138" s="48"/>
      <c r="O138" s="48"/>
      <c r="P138" s="48"/>
      <c r="Q138" s="48"/>
      <c r="R138" s="48"/>
      <c r="S138" s="48"/>
      <c r="T138" s="48"/>
      <c r="U138" s="48"/>
      <c r="V138" s="48"/>
      <c r="W138" s="48"/>
      <c r="X138" s="47" t="n">
        <f aca="false">IF(COUNT(X107:INDEX(X:X,ROW()-1))=0,"",SUM(X107:INDEX(X:X,ROW()-1)))</f>
        <v>16.9736842105263</v>
      </c>
    </row>
    <row r="139" customFormat="false" ht="7.5" hidden="false" customHeight="true" outlineLevel="0" collapsed="false"/>
    <row r="140" customFormat="false" ht="24" hidden="false" customHeight="true" outlineLevel="0" collapsed="false">
      <c r="A140" s="33" t="s">
        <v>423</v>
      </c>
      <c r="B140" s="33"/>
      <c r="C140" s="33"/>
      <c r="D140" s="33"/>
      <c r="E140" s="33"/>
      <c r="F140" s="33"/>
      <c r="G140" s="33"/>
      <c r="H140" s="33"/>
      <c r="I140" s="33"/>
      <c r="J140" s="49" t="n">
        <f aca="false">J36+J70+J104+J138</f>
        <v>100</v>
      </c>
      <c r="K140" s="50"/>
      <c r="L140" s="50"/>
      <c r="M140" s="50"/>
      <c r="N140" s="50"/>
      <c r="O140" s="50"/>
      <c r="P140" s="50"/>
      <c r="Q140" s="50"/>
      <c r="R140" s="50"/>
      <c r="S140" s="50"/>
      <c r="T140" s="50"/>
      <c r="U140" s="50"/>
      <c r="V140" s="50"/>
      <c r="W140" s="50"/>
      <c r="X140" s="49" t="n">
        <f aca="false">IF(COUNT(X36,X70,X104,X138)=0,"",SUM(X36,X70,X104,X138))</f>
        <v>69.9986842105263</v>
      </c>
    </row>
  </sheetData>
  <mergeCells count="28">
    <mergeCell ref="A1:X1"/>
    <mergeCell ref="A2:X2"/>
    <mergeCell ref="C3:D3"/>
    <mergeCell ref="F3:I3"/>
    <mergeCell ref="J3:K3"/>
    <mergeCell ref="L3:N3"/>
    <mergeCell ref="P3:R3"/>
    <mergeCell ref="B4:D4"/>
    <mergeCell ref="E4:L4"/>
    <mergeCell ref="N4:U4"/>
    <mergeCell ref="V4:X4"/>
    <mergeCell ref="A36:I36"/>
    <mergeCell ref="B38:D38"/>
    <mergeCell ref="E38:L38"/>
    <mergeCell ref="N38:U38"/>
    <mergeCell ref="V38:X38"/>
    <mergeCell ref="A70:I70"/>
    <mergeCell ref="B72:D72"/>
    <mergeCell ref="E72:L72"/>
    <mergeCell ref="N72:U72"/>
    <mergeCell ref="V72:X72"/>
    <mergeCell ref="A104:I104"/>
    <mergeCell ref="B106:D106"/>
    <mergeCell ref="E106:L106"/>
    <mergeCell ref="N106:U106"/>
    <mergeCell ref="V106:X106"/>
    <mergeCell ref="A138:I138"/>
    <mergeCell ref="A140:I140"/>
  </mergeCells>
  <conditionalFormatting sqref="A6:B36">
    <cfRule type="expression" priority="2" aboveAverage="0" equalAverage="0" bottom="0" percent="0" rank="0" text="" dxfId="0">
      <formula>$B6&lt;&gt;""</formula>
    </cfRule>
  </conditionalFormatting>
  <conditionalFormatting sqref="G6:G35">
    <cfRule type="expression" priority="3" aboveAverage="0" equalAverage="0" bottom="0" percent="0" rank="0" text="" dxfId="1">
      <formula>AND($E6&lt;&gt;"",$G6&lt;&gt;"",OR(AND(ISNUMBER(SEARCH("نوعي",$E6)),ISERROR(SEARCH("ليكرت",$G6))),AND(ISNUMBER(SEARCH("نسبي",$E6)),ISERROR(SEARCH("نسبة",$G6))),AND(ISNUMBER(SEARCH("عددي",$E6)),OR(ISNUMBER(SEARCH("نسبة",$G6)),ISNUMBER(SEARCH("ليكرت",$G6))))))</formula>
    </cfRule>
  </conditionalFormatting>
  <conditionalFormatting sqref="I6:I35">
    <cfRule type="expression" priority="4" aboveAverage="0" equalAverage="0" bottom="0" percent="0" rank="0" text="" dxfId="1">
      <formula>AND($I6&lt;&gt;"",OR(ISNUMBER(SEARCH("نوعي",$E6)),ISNUMBER(SEARCH("ليكرت",$G6))),ISERROR(SEARCH("متوسط",$I6)),OR(ISNUMBER(SEARCH("نصف",$I6)),ISNUMBER(SEARCH("ربعي",$I6))))</formula>
    </cfRule>
  </conditionalFormatting>
  <conditionalFormatting sqref="A40:B70">
    <cfRule type="expression" priority="5" aboveAverage="0" equalAverage="0" bottom="0" percent="0" rank="0" text="" dxfId="0">
      <formula>$B40&lt;&gt;""</formula>
    </cfRule>
  </conditionalFormatting>
  <conditionalFormatting sqref="G40:G69">
    <cfRule type="expression" priority="6" aboveAverage="0" equalAverage="0" bottom="0" percent="0" rank="0" text="" dxfId="1">
      <formula>AND($E40&lt;&gt;"",$G40&lt;&gt;"",OR(AND(ISNUMBER(SEARCH("نوعي",$E40)),ISERROR(SEARCH("ليكرت",$G40))),AND(ISNUMBER(SEARCH("نسبي",$E40)),ISERROR(SEARCH("نسبة",$G40))),AND(ISNUMBER(SEARCH("عددي",$E40)),OR(ISNUMBER(SEARCH("نسبة",$G40)),ISNUMBER(SEARCH("ليكرت",$G40))))))</formula>
    </cfRule>
  </conditionalFormatting>
  <conditionalFormatting sqref="I40:I69">
    <cfRule type="expression" priority="7" aboveAverage="0" equalAverage="0" bottom="0" percent="0" rank="0" text="" dxfId="1">
      <formula>AND($I40&lt;&gt;"",OR(ISNUMBER(SEARCH("نوعي",$E40)),ISNUMBER(SEARCH("ليكرت",$G40))),ISERROR(SEARCH("متوسط",$I40)),OR(ISNUMBER(SEARCH("نصف",$I40)),ISNUMBER(SEARCH("ربعي",$I40))))</formula>
    </cfRule>
  </conditionalFormatting>
  <conditionalFormatting sqref="A74:B104">
    <cfRule type="expression" priority="8" aboveAverage="0" equalAverage="0" bottom="0" percent="0" rank="0" text="" dxfId="0">
      <formula>$B74&lt;&gt;""</formula>
    </cfRule>
  </conditionalFormatting>
  <conditionalFormatting sqref="G74:G103">
    <cfRule type="expression" priority="9" aboveAverage="0" equalAverage="0" bottom="0" percent="0" rank="0" text="" dxfId="1">
      <formula>AND($E74&lt;&gt;"",$G74&lt;&gt;"",OR(AND(ISNUMBER(SEARCH("نوعي",$E74)),ISERROR(SEARCH("ليكرت",$G74))),AND(ISNUMBER(SEARCH("نسبي",$E74)),ISERROR(SEARCH("نسبة",$G74))),AND(ISNUMBER(SEARCH("عددي",$E74)),OR(ISNUMBER(SEARCH("نسبة",$G74)),ISNUMBER(SEARCH("ليكرت",$G74))))))</formula>
    </cfRule>
  </conditionalFormatting>
  <conditionalFormatting sqref="I74:I103">
    <cfRule type="expression" priority="10" aboveAverage="0" equalAverage="0" bottom="0" percent="0" rank="0" text="" dxfId="1">
      <formula>AND($I74&lt;&gt;"",OR(ISNUMBER(SEARCH("نوعي",$E74)),ISNUMBER(SEARCH("ليكرت",$G74))),ISERROR(SEARCH("متوسط",$I74)),OR(ISNUMBER(SEARCH("نصف",$I74)),ISNUMBER(SEARCH("ربعي",$I74))))</formula>
    </cfRule>
  </conditionalFormatting>
  <conditionalFormatting sqref="A108:B138">
    <cfRule type="expression" priority="11" aboveAverage="0" equalAverage="0" bottom="0" percent="0" rank="0" text="" dxfId="0">
      <formula>$B108&lt;&gt;""</formula>
    </cfRule>
  </conditionalFormatting>
  <conditionalFormatting sqref="G108:G137">
    <cfRule type="expression" priority="12" aboveAverage="0" equalAverage="0" bottom="0" percent="0" rank="0" text="" dxfId="1">
      <formula>AND($E108&lt;&gt;"",$G108&lt;&gt;"",OR(AND(ISNUMBER(SEARCH("نوعي",$E108)),ISERROR(SEARCH("ليكرت",$G108))),AND(ISNUMBER(SEARCH("نسبي",$E108)),ISERROR(SEARCH("نسبة",$G108))),AND(ISNUMBER(SEARCH("عددي",$E108)),OR(ISNUMBER(SEARCH("نسبة",$G108)),ISNUMBER(SEARCH("ليكرت",$G108))))))</formula>
    </cfRule>
  </conditionalFormatting>
  <conditionalFormatting sqref="I108:I137">
    <cfRule type="expression" priority="13" aboveAverage="0" equalAverage="0" bottom="0" percent="0" rank="0" text="" dxfId="1">
      <formula>AND($I108&lt;&gt;"",OR(ISNUMBER(SEARCH("نوعي",$E108)),ISNUMBER(SEARCH("ليكرت",$G108))),ISERROR(SEARCH("متوسط",$I108)),OR(ISNUMBER(SEARCH("نصف",$I108)),ISNUMBER(SEARCH("ربعي",$I108))))</formula>
    </cfRule>
  </conditionalFormatting>
  <dataValidations count="11">
    <dataValidation allowBlank="true" error="اختر قيمة من القائمة / Choose a value from the list" errorStyle="stop" errorTitle="اسم المؤسسة" operator="between" showDropDown="false" showErrorMessage="true" showInputMessage="false" sqref="F3" type="list">
      <formula1>lst_Institution</formula1>
      <formula2>0</formula2>
    </dataValidation>
    <dataValidation allowBlank="true" error="اختر قيمة من القائمة / Choose a value from the list" errorStyle="stop" errorTitle="اسم المؤسسة" operator="between" showDropDown="false" showErrorMessage="true" showInputMessage="false" sqref="P3" type="list">
      <formula1>lst_Period</formula1>
      <formula2>0</formula2>
    </dataValidation>
    <dataValidation allowBlank="true" error="اختر قيمة من القائمة / Choose a value from the list" errorStyle="stop" errorTitle="اسم المؤسسة" operator="between" showDropDown="false" showErrorMessage="true" showInputMessage="false" sqref="E6:E35 E40:E69 E74:E103 E108:E137" type="list">
      <formula1>lst_Measure</formula1>
      <formula2>0</formula2>
    </dataValidation>
    <dataValidation allowBlank="true" error="اختر قيمة من القائمة / Choose a value from the list" errorStyle="stop" errorTitle="اسم المؤسسة" operator="between" showDropDown="false" showErrorMessage="true" showInputMessage="false" sqref="F6:F35 F40:F69 F74:F103 F108:F137" type="list">
      <formula1>lst_Role</formula1>
      <formula2>0</formula2>
    </dataValidation>
    <dataValidation allowBlank="true" error="اختر قيمة من القائمة / Choose a value from the list" errorStyle="stop" errorTitle="اسم المؤسسة" operator="between" showDropDown="false" showErrorMessage="true" showInputMessage="false" sqref="H6:H35 H40:H69 H74:H103 H108:H137" type="list">
      <formula1>lst_Polarity</formula1>
      <formula2>0</formula2>
    </dataValidation>
    <dataValidation allowBlank="true" error="اختر قيمة من القائمة / Choose a value from the list" errorStyle="stop" errorTitle="اسم المؤسسة" operator="between" showDropDown="false" showErrorMessage="true" showInputMessage="false" sqref="G6:G35 G40:G69 G74:G103 G108:G137" type="list">
      <formula1>IF(ISNUMBER(SEARCH("نوعي",$E6)),lst_Unit_Qual,IF(ISNUMBER(SEARCH("نسبي",$E6)),lst_Unit_Pct,IF(ISNUMBER(SEARCH("عددي",$E6)),lst_Unit_Num,lst_Unit)))</formula1>
      <formula2>0</formula2>
    </dataValidation>
    <dataValidation allowBlank="true" error="اختر قيمة من القائمة / Choose a value from the list" errorStyle="stop" errorTitle="اسم المؤسسة" operator="between" showDropDown="false" showErrorMessage="true" showInputMessage="false" sqref="I6:I35 I40:I69 I74:I103 I108:I137" type="list">
      <formula1>IF(OR(ISNUMBER(SEARCH("نوعي",$E6)),ISNUMBER(SEARCH("ليكرت",$G6))),lst_Freq_Qual,lst_Frequency)</formula1>
      <formula2>0</formula2>
    </dataValidation>
    <dataValidation allowBlank="true" error="أدخل رقمًا دون علامة % (مثال: 5). مجموع أوزان المنظور يجب ألا يتجاوز 25.&#10;Enter a number without the % sign (e.g. 5). The perspective's total weight must not exceed 25." errorStyle="stop" errorTitle="الوزن / Weight" operator="between" showDropDown="false" showErrorMessage="true" showInputMessage="false" sqref="J6:J35" type="custom">
      <formula1>AND(ISNUMBER(J6),J6&gt;=0,SUM($J$6:$J$35)&lt;=25)</formula1>
      <formula2>0</formula2>
    </dataValidation>
    <dataValidation allowBlank="true" error="أدخل رقمًا دون علامة % (مثال: 5). مجموع أوزان المنظور يجب ألا يتجاوز 25.&#10;Enter a number without the % sign (e.g. 5). The perspective's total weight must not exceed 25." errorStyle="stop" errorTitle="الوزن / Weight" operator="between" showDropDown="false" showErrorMessage="true" showInputMessage="false" sqref="J40:J69" type="custom">
      <formula1>AND(ISNUMBER(J40),J40&gt;=0,SUM($J$40:$J$69)&lt;=25)</formula1>
      <formula2>0</formula2>
    </dataValidation>
    <dataValidation allowBlank="true" error="أدخل رقمًا دون علامة % (مثال: 5). مجموع أوزان المنظور يجب ألا يتجاوز 25.&#10;Enter a number without the % sign (e.g. 5). The perspective's total weight must not exceed 25." errorStyle="stop" errorTitle="الوزن / Weight" operator="between" showDropDown="false" showErrorMessage="true" showInputMessage="false" sqref="J74:J103" type="custom">
      <formula1>AND(ISNUMBER(J74),J74&gt;=0,SUM($J$74:$J$103)&lt;=25)</formula1>
      <formula2>0</formula2>
    </dataValidation>
    <dataValidation allowBlank="true" error="أدخل رقمًا دون علامة % (مثال: 5). مجموع أوزان المنظور يجب ألا يتجاوز 25.&#10;Enter a number without the % sign (e.g. 5). The perspective's total weight must not exceed 25." errorStyle="stop" errorTitle="الوزن / Weight" operator="between" showDropDown="false" showErrorMessage="true" showInputMessage="false" sqref="J108:J137" type="custom">
      <formula1>AND(ISNUMBER(J108),J108&gt;=0,SUM($J$108:$J$137)&lt;=25)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97"/>
  <sheetViews>
    <sheetView showFormulas="false" showGridLines="false" showRowColHeaders="true" showZeros="true" rightToLeft="true" tabSelected="true" showOutlineSymbols="true" defaultGridColor="true" view="normal" topLeftCell="A82" colorId="64" zoomScale="100" zoomScaleNormal="100" zoomScalePageLayoutView="100" workbookViewId="0">
      <selection pane="topLeft" activeCell="B85" activeCellId="0" sqref="B85"/>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33"/>
    <col collapsed="false" customWidth="true" hidden="false" outlineLevel="0" max="4" min="4" style="0" width="32"/>
    <col collapsed="false" customWidth="true" hidden="false" outlineLevel="0" max="6" min="5" style="0" width="18"/>
    <col collapsed="false" customWidth="true" hidden="false" outlineLevel="0" max="7" min="7" style="0" width="15"/>
    <col collapsed="false" customWidth="true" hidden="false" outlineLevel="0" max="9" min="8" style="0" width="12"/>
    <col collapsed="false" customWidth="true" hidden="false" outlineLevel="0" max="10" min="10" style="0" width="13"/>
    <col collapsed="false" customWidth="true" hidden="false" outlineLevel="0" max="11" min="11" style="0" width="21.29"/>
  </cols>
  <sheetData>
    <row r="1" customFormat="false" ht="48.75" hidden="false" customHeight="true" outlineLevel="0" collapsed="false">
      <c r="A1" s="51" t="s">
        <v>0</v>
      </c>
      <c r="B1" s="51"/>
      <c r="C1" s="51"/>
      <c r="D1" s="51"/>
      <c r="E1" s="51"/>
      <c r="F1" s="51"/>
      <c r="G1" s="51"/>
      <c r="H1" s="51"/>
      <c r="I1" s="51"/>
      <c r="J1" s="51"/>
      <c r="K1" s="51"/>
    </row>
    <row r="2" customFormat="false" ht="41.25" hidden="false" customHeight="true" outlineLevel="0" collapsed="false">
      <c r="A2" s="52" t="s">
        <v>424</v>
      </c>
      <c r="B2" s="52"/>
      <c r="C2" s="52"/>
      <c r="D2" s="52"/>
      <c r="E2" s="52"/>
      <c r="F2" s="52"/>
      <c r="G2" s="52"/>
      <c r="H2" s="52"/>
      <c r="I2" s="52"/>
      <c r="J2" s="52"/>
      <c r="K2" s="52"/>
    </row>
    <row r="3" customFormat="false" ht="36" hidden="false" customHeight="true" outlineLevel="0" collapsed="false">
      <c r="A3" s="5" t="s">
        <v>425</v>
      </c>
      <c r="B3" s="5"/>
      <c r="C3" s="5"/>
      <c r="D3" s="53" t="str">
        <f aca="false">IF('KPI Tracking'!F3="","",'KPI Tracking'!F3)</f>
        <v>مؤسسة زمزم Zamzam Foundation</v>
      </c>
      <c r="E3" s="53"/>
      <c r="F3" s="5" t="s">
        <v>426</v>
      </c>
      <c r="G3" s="54" t="str">
        <f aca="false">IF('KPI Tracking'!P3="","",'KPI Tracking'!P3)</f>
        <v>Q2</v>
      </c>
      <c r="H3" s="55" t="s">
        <v>427</v>
      </c>
      <c r="I3" s="55"/>
      <c r="J3" s="55"/>
      <c r="K3" s="55"/>
    </row>
    <row r="5" customFormat="false" ht="30" hidden="false" customHeight="true" outlineLevel="0" collapsed="false">
      <c r="A5" s="56" t="s">
        <v>428</v>
      </c>
      <c r="B5" s="56"/>
      <c r="C5" s="56"/>
      <c r="D5" s="56"/>
      <c r="E5" s="56"/>
      <c r="F5" s="56"/>
      <c r="G5" s="56"/>
      <c r="H5" s="56"/>
      <c r="I5" s="56"/>
      <c r="J5" s="56"/>
      <c r="K5" s="56"/>
    </row>
    <row r="6" customFormat="false" ht="55.5" hidden="false" customHeight="true" outlineLevel="0" collapsed="false">
      <c r="A6" s="57" t="s">
        <v>359</v>
      </c>
      <c r="B6" s="58" t="s">
        <v>429</v>
      </c>
      <c r="C6" s="58" t="s">
        <v>430</v>
      </c>
      <c r="D6" s="58" t="s">
        <v>431</v>
      </c>
      <c r="E6" s="58" t="s">
        <v>432</v>
      </c>
      <c r="F6" s="58" t="s">
        <v>433</v>
      </c>
      <c r="G6" s="58" t="s">
        <v>434</v>
      </c>
      <c r="H6" s="58" t="s">
        <v>435</v>
      </c>
      <c r="I6" s="58" t="s">
        <v>436</v>
      </c>
      <c r="J6" s="58" t="s">
        <v>437</v>
      </c>
      <c r="K6" s="58" t="s">
        <v>438</v>
      </c>
    </row>
    <row r="7" customFormat="false" ht="21.75" hidden="false" customHeight="true" outlineLevel="0" collapsed="false">
      <c r="A7" s="59" t="n">
        <f aca="false">IF(D7="","",COUNTA(D$7:D7))</f>
        <v>1</v>
      </c>
      <c r="B7" s="60" t="s">
        <v>439</v>
      </c>
      <c r="C7" s="39" t="s">
        <v>440</v>
      </c>
      <c r="D7" s="39" t="s">
        <v>441</v>
      </c>
      <c r="E7" s="39" t="s">
        <v>442</v>
      </c>
      <c r="F7" s="39" t="s">
        <v>443</v>
      </c>
      <c r="G7" s="61" t="n">
        <v>200</v>
      </c>
      <c r="H7" s="61" t="n">
        <v>5</v>
      </c>
      <c r="I7" s="61" t="n">
        <v>4</v>
      </c>
      <c r="J7" s="62" t="n">
        <f aca="false">IF(AND(ISNUMBER(H7),ISNUMBER(I7),H7&lt;&gt;0),I7/H7,"")</f>
        <v>0.8</v>
      </c>
      <c r="K7" s="63" t="s">
        <v>444</v>
      </c>
    </row>
    <row r="8" customFormat="false" ht="21.75" hidden="false" customHeight="true" outlineLevel="0" collapsed="false">
      <c r="A8" s="59" t="n">
        <f aca="false">IF(D8="","",COUNTA(D$7:D8))</f>
        <v>2</v>
      </c>
      <c r="B8" s="60" t="s">
        <v>353</v>
      </c>
      <c r="C8" s="39" t="s">
        <v>440</v>
      </c>
      <c r="D8" s="39" t="s">
        <v>441</v>
      </c>
      <c r="E8" s="39" t="s">
        <v>442</v>
      </c>
      <c r="F8" s="39" t="s">
        <v>443</v>
      </c>
      <c r="G8" s="61" t="n">
        <v>300</v>
      </c>
      <c r="H8" s="61" t="n">
        <v>6</v>
      </c>
      <c r="I8" s="61" t="n">
        <v>6</v>
      </c>
      <c r="J8" s="62" t="n">
        <f aca="false">IF(AND(ISNUMBER(H8),ISNUMBER(I8),H8&lt;&gt;0),I8/H8,"")</f>
        <v>1</v>
      </c>
      <c r="K8" s="63" t="s">
        <v>444</v>
      </c>
    </row>
    <row r="9" customFormat="false" ht="21.75" hidden="false" customHeight="true" outlineLevel="0" collapsed="false">
      <c r="A9" s="59" t="n">
        <f aca="false">IF(D9="","",COUNTA(D$7:D9))</f>
        <v>3</v>
      </c>
      <c r="B9" s="60" t="s">
        <v>353</v>
      </c>
      <c r="C9" s="39" t="s">
        <v>445</v>
      </c>
      <c r="D9" s="39" t="s">
        <v>446</v>
      </c>
      <c r="E9" s="39" t="s">
        <v>447</v>
      </c>
      <c r="F9" s="39" t="s">
        <v>448</v>
      </c>
      <c r="G9" s="61" t="n">
        <v>150</v>
      </c>
      <c r="H9" s="61" t="n">
        <v>2</v>
      </c>
      <c r="I9" s="61" t="n">
        <v>3</v>
      </c>
      <c r="J9" s="62" t="n">
        <f aca="false">IF(AND(ISNUMBER(H9),ISNUMBER(I9),H9&lt;&gt;0),I9/H9,"")</f>
        <v>1.5</v>
      </c>
      <c r="K9" s="63" t="s">
        <v>449</v>
      </c>
    </row>
    <row r="10" customFormat="false" ht="21.75" hidden="false" customHeight="true" outlineLevel="0" collapsed="false">
      <c r="A10" s="59" t="n">
        <f aca="false">IF(D10="","",COUNTA(D$7:D10))</f>
        <v>4</v>
      </c>
      <c r="B10" s="60" t="s">
        <v>439</v>
      </c>
      <c r="C10" s="39" t="s">
        <v>450</v>
      </c>
      <c r="D10" s="39" t="s">
        <v>451</v>
      </c>
      <c r="E10" s="39" t="s">
        <v>452</v>
      </c>
      <c r="F10" s="39" t="s">
        <v>453</v>
      </c>
      <c r="G10" s="61" t="n">
        <v>25</v>
      </c>
      <c r="H10" s="61" t="n">
        <v>2</v>
      </c>
      <c r="I10" s="61" t="n">
        <v>2</v>
      </c>
      <c r="J10" s="62" t="n">
        <f aca="false">IF(AND(ISNUMBER(H10),ISNUMBER(I10),H10&lt;&gt;0),I10/H10,"")</f>
        <v>1</v>
      </c>
      <c r="K10" s="63" t="s">
        <v>454</v>
      </c>
    </row>
    <row r="11" customFormat="false" ht="21.75" hidden="false" customHeight="true" outlineLevel="0" collapsed="false">
      <c r="A11" s="59" t="n">
        <f aca="false">IF(D11="","",COUNTA(D$7:D11))</f>
        <v>5</v>
      </c>
      <c r="B11" s="60" t="s">
        <v>455</v>
      </c>
      <c r="C11" s="39" t="s">
        <v>450</v>
      </c>
      <c r="D11" s="39" t="s">
        <v>456</v>
      </c>
      <c r="E11" s="39" t="s">
        <v>452</v>
      </c>
      <c r="F11" s="39" t="s">
        <v>453</v>
      </c>
      <c r="G11" s="61" t="n">
        <v>30</v>
      </c>
      <c r="H11" s="61" t="n">
        <v>4</v>
      </c>
      <c r="I11" s="61"/>
      <c r="J11" s="62" t="str">
        <f aca="false">IF(AND(ISNUMBER(H11),ISNUMBER(I11),H11&lt;&gt;0),I11/H11,"")</f>
        <v/>
      </c>
      <c r="K11" s="63" t="s">
        <v>454</v>
      </c>
    </row>
    <row r="12" customFormat="false" ht="21.75" hidden="false" customHeight="true" outlineLevel="0" collapsed="false">
      <c r="A12" s="59" t="str">
        <f aca="false">IF(D12="","",COUNTA(D$7:D12))</f>
        <v/>
      </c>
      <c r="B12" s="60"/>
      <c r="C12" s="39"/>
      <c r="D12" s="39"/>
      <c r="E12" s="39"/>
      <c r="F12" s="39"/>
      <c r="G12" s="61"/>
      <c r="H12" s="61"/>
      <c r="I12" s="61"/>
      <c r="J12" s="62" t="str">
        <f aca="false">IF(AND(ISNUMBER(H12),ISNUMBER(I12),H12&lt;&gt;0),I12/H12,"")</f>
        <v/>
      </c>
      <c r="K12" s="63"/>
    </row>
    <row r="13" customFormat="false" ht="21.75" hidden="false" customHeight="true" outlineLevel="0" collapsed="false">
      <c r="A13" s="59" t="str">
        <f aca="false">IF(D13="","",COUNTA(D$7:D13))</f>
        <v/>
      </c>
      <c r="B13" s="60"/>
      <c r="C13" s="39"/>
      <c r="D13" s="39"/>
      <c r="E13" s="39"/>
      <c r="F13" s="39"/>
      <c r="G13" s="61"/>
      <c r="H13" s="61"/>
      <c r="I13" s="61"/>
      <c r="J13" s="62" t="str">
        <f aca="false">IF(AND(ISNUMBER(H13),ISNUMBER(I13),H13&lt;&gt;0),I13/H13,"")</f>
        <v/>
      </c>
      <c r="K13" s="63"/>
    </row>
    <row r="14" customFormat="false" ht="21.75" hidden="false" customHeight="true" outlineLevel="0" collapsed="false">
      <c r="A14" s="59" t="str">
        <f aca="false">IF(D14="","",COUNTA(D$7:D14))</f>
        <v/>
      </c>
      <c r="B14" s="60"/>
      <c r="C14" s="39"/>
      <c r="D14" s="39"/>
      <c r="E14" s="39"/>
      <c r="F14" s="39"/>
      <c r="G14" s="61"/>
      <c r="H14" s="61"/>
      <c r="I14" s="61"/>
      <c r="J14" s="62" t="str">
        <f aca="false">IF(AND(ISNUMBER(H14),ISNUMBER(I14),H14&lt;&gt;0),I14/H14,"")</f>
        <v/>
      </c>
      <c r="K14" s="63"/>
    </row>
    <row r="15" customFormat="false" ht="21.75" hidden="false" customHeight="true" outlineLevel="0" collapsed="false">
      <c r="A15" s="59" t="str">
        <f aca="false">IF(D15="","",COUNTA(D$7:D15))</f>
        <v/>
      </c>
      <c r="B15" s="60"/>
      <c r="C15" s="39"/>
      <c r="D15" s="39"/>
      <c r="E15" s="39"/>
      <c r="F15" s="39"/>
      <c r="G15" s="61"/>
      <c r="H15" s="61"/>
      <c r="I15" s="61"/>
      <c r="J15" s="62" t="str">
        <f aca="false">IF(AND(ISNUMBER(H15),ISNUMBER(I15),H15&lt;&gt;0),I15/H15,"")</f>
        <v/>
      </c>
      <c r="K15" s="63"/>
    </row>
    <row r="16" customFormat="false" ht="21.75" hidden="false" customHeight="true" outlineLevel="0" collapsed="false">
      <c r="A16" s="59" t="str">
        <f aca="false">IF(D16="","",COUNTA(D$7:D16))</f>
        <v/>
      </c>
      <c r="B16" s="60"/>
      <c r="C16" s="39"/>
      <c r="D16" s="39"/>
      <c r="E16" s="39"/>
      <c r="F16" s="39"/>
      <c r="G16" s="61"/>
      <c r="H16" s="61"/>
      <c r="I16" s="61"/>
      <c r="J16" s="62" t="str">
        <f aca="false">IF(AND(ISNUMBER(H16),ISNUMBER(I16),H16&lt;&gt;0),I16/H16,"")</f>
        <v/>
      </c>
      <c r="K16" s="63"/>
    </row>
    <row r="17" customFormat="false" ht="21.75" hidden="false" customHeight="true" outlineLevel="0" collapsed="false">
      <c r="A17" s="59" t="str">
        <f aca="false">IF(D17="","",COUNTA(D$7:D17))</f>
        <v/>
      </c>
      <c r="B17" s="60"/>
      <c r="C17" s="39"/>
      <c r="D17" s="39"/>
      <c r="E17" s="39"/>
      <c r="F17" s="39"/>
      <c r="G17" s="61"/>
      <c r="H17" s="61"/>
      <c r="I17" s="61"/>
      <c r="J17" s="62" t="str">
        <f aca="false">IF(AND(ISNUMBER(H17),ISNUMBER(I17),H17&lt;&gt;0),I17/H17,"")</f>
        <v/>
      </c>
      <c r="K17" s="63"/>
    </row>
    <row r="18" customFormat="false" ht="21.75" hidden="false" customHeight="true" outlineLevel="0" collapsed="false">
      <c r="A18" s="59" t="str">
        <f aca="false">IF(D18="","",COUNTA(D$7:D18))</f>
        <v/>
      </c>
      <c r="B18" s="60"/>
      <c r="C18" s="39"/>
      <c r="D18" s="39"/>
      <c r="E18" s="39"/>
      <c r="F18" s="39"/>
      <c r="G18" s="61"/>
      <c r="H18" s="61"/>
      <c r="I18" s="61"/>
      <c r="J18" s="62" t="str">
        <f aca="false">IF(AND(ISNUMBER(H18),ISNUMBER(I18),H18&lt;&gt;0),I18/H18,"")</f>
        <v/>
      </c>
      <c r="K18" s="63"/>
    </row>
    <row r="19" customFormat="false" ht="21.75" hidden="false" customHeight="true" outlineLevel="0" collapsed="false">
      <c r="A19" s="59" t="str">
        <f aca="false">IF(D19="","",COUNTA(D$7:D19))</f>
        <v/>
      </c>
      <c r="B19" s="60"/>
      <c r="C19" s="39"/>
      <c r="D19" s="39"/>
      <c r="E19" s="39"/>
      <c r="F19" s="39"/>
      <c r="G19" s="61"/>
      <c r="H19" s="61"/>
      <c r="I19" s="61"/>
      <c r="J19" s="62" t="str">
        <f aca="false">IF(AND(ISNUMBER(H19),ISNUMBER(I19),H19&lt;&gt;0),I19/H19,"")</f>
        <v/>
      </c>
      <c r="K19" s="63"/>
    </row>
    <row r="20" customFormat="false" ht="21.75" hidden="false" customHeight="true" outlineLevel="0" collapsed="false">
      <c r="A20" s="59" t="str">
        <f aca="false">IF(D20="","",COUNTA(D$7:D20))</f>
        <v/>
      </c>
      <c r="B20" s="60"/>
      <c r="C20" s="39"/>
      <c r="D20" s="39"/>
      <c r="E20" s="39"/>
      <c r="F20" s="39"/>
      <c r="G20" s="61"/>
      <c r="H20" s="61"/>
      <c r="I20" s="61"/>
      <c r="J20" s="62" t="str">
        <f aca="false">IF(AND(ISNUMBER(H20),ISNUMBER(I20),H20&lt;&gt;0),I20/H20,"")</f>
        <v/>
      </c>
      <c r="K20" s="63"/>
    </row>
    <row r="21" customFormat="false" ht="21.75" hidden="false" customHeight="true" outlineLevel="0" collapsed="false">
      <c r="A21" s="59" t="str">
        <f aca="false">IF(D21="","",COUNTA(D$7:D21))</f>
        <v/>
      </c>
      <c r="B21" s="60"/>
      <c r="C21" s="39"/>
      <c r="D21" s="39"/>
      <c r="E21" s="39"/>
      <c r="F21" s="39"/>
      <c r="G21" s="61"/>
      <c r="H21" s="61"/>
      <c r="I21" s="61"/>
      <c r="J21" s="62" t="str">
        <f aca="false">IF(AND(ISNUMBER(H21),ISNUMBER(I21),H21&lt;&gt;0),I21/H21,"")</f>
        <v/>
      </c>
      <c r="K21" s="63"/>
    </row>
    <row r="22" customFormat="false" ht="21.75" hidden="false" customHeight="true" outlineLevel="0" collapsed="false">
      <c r="A22" s="59" t="str">
        <f aca="false">IF(D22="","",COUNTA(D$7:D22))</f>
        <v/>
      </c>
      <c r="B22" s="60"/>
      <c r="C22" s="39"/>
      <c r="D22" s="39"/>
      <c r="E22" s="39"/>
      <c r="F22" s="39"/>
      <c r="G22" s="61"/>
      <c r="H22" s="61"/>
      <c r="I22" s="61"/>
      <c r="J22" s="62" t="str">
        <f aca="false">IF(AND(ISNUMBER(H22),ISNUMBER(I22),H22&lt;&gt;0),I22/H22,"")</f>
        <v/>
      </c>
      <c r="K22" s="63"/>
    </row>
    <row r="23" customFormat="false" ht="21.75" hidden="false" customHeight="true" outlineLevel="0" collapsed="false">
      <c r="A23" s="59" t="str">
        <f aca="false">IF(D23="","",COUNTA(D$7:D23))</f>
        <v/>
      </c>
      <c r="B23" s="60"/>
      <c r="C23" s="39"/>
      <c r="D23" s="39"/>
      <c r="E23" s="39"/>
      <c r="F23" s="39"/>
      <c r="G23" s="61"/>
      <c r="H23" s="61"/>
      <c r="I23" s="61"/>
      <c r="J23" s="62" t="str">
        <f aca="false">IF(AND(ISNUMBER(H23),ISNUMBER(I23),H23&lt;&gt;0),I23/H23,"")</f>
        <v/>
      </c>
      <c r="K23" s="63"/>
    </row>
    <row r="24" customFormat="false" ht="21.75" hidden="false" customHeight="true" outlineLevel="0" collapsed="false">
      <c r="A24" s="59" t="str">
        <f aca="false">IF(D24="","",COUNTA(D$7:D24))</f>
        <v/>
      </c>
      <c r="B24" s="60"/>
      <c r="C24" s="39"/>
      <c r="D24" s="39"/>
      <c r="E24" s="39"/>
      <c r="F24" s="39"/>
      <c r="G24" s="61"/>
      <c r="H24" s="61"/>
      <c r="I24" s="61"/>
      <c r="J24" s="62" t="str">
        <f aca="false">IF(AND(ISNUMBER(H24),ISNUMBER(I24),H24&lt;&gt;0),I24/H24,"")</f>
        <v/>
      </c>
      <c r="K24" s="63"/>
    </row>
    <row r="25" customFormat="false" ht="21.75" hidden="false" customHeight="true" outlineLevel="0" collapsed="false">
      <c r="A25" s="59" t="str">
        <f aca="false">IF(D25="","",COUNTA(D$7:D25))</f>
        <v/>
      </c>
      <c r="B25" s="60"/>
      <c r="C25" s="39"/>
      <c r="D25" s="39"/>
      <c r="E25" s="39"/>
      <c r="F25" s="39"/>
      <c r="G25" s="61"/>
      <c r="H25" s="61"/>
      <c r="I25" s="61"/>
      <c r="J25" s="62" t="str">
        <f aca="false">IF(AND(ISNUMBER(H25),ISNUMBER(I25),H25&lt;&gt;0),I25/H25,"")</f>
        <v/>
      </c>
      <c r="K25" s="63"/>
    </row>
    <row r="26" customFormat="false" ht="21.75" hidden="false" customHeight="true" outlineLevel="0" collapsed="false">
      <c r="A26" s="59" t="str">
        <f aca="false">IF(D26="","",COUNTA(D$7:D26))</f>
        <v/>
      </c>
      <c r="B26" s="60"/>
      <c r="C26" s="39"/>
      <c r="D26" s="39"/>
      <c r="E26" s="39"/>
      <c r="F26" s="39"/>
      <c r="G26" s="61"/>
      <c r="H26" s="61"/>
      <c r="I26" s="61"/>
      <c r="J26" s="62" t="str">
        <f aca="false">IF(AND(ISNUMBER(H26),ISNUMBER(I26),H26&lt;&gt;0),I26/H26,"")</f>
        <v/>
      </c>
      <c r="K26" s="63"/>
    </row>
    <row r="27" customFormat="false" ht="21.75" hidden="false" customHeight="true" outlineLevel="0" collapsed="false">
      <c r="A27" s="59" t="str">
        <f aca="false">IF(D27="","",COUNTA(D$7:D27))</f>
        <v/>
      </c>
      <c r="B27" s="60"/>
      <c r="C27" s="39"/>
      <c r="D27" s="39"/>
      <c r="E27" s="39"/>
      <c r="F27" s="39"/>
      <c r="G27" s="61"/>
      <c r="H27" s="61"/>
      <c r="I27" s="61"/>
      <c r="J27" s="62" t="str">
        <f aca="false">IF(AND(ISNUMBER(H27),ISNUMBER(I27),H27&lt;&gt;0),I27/H27,"")</f>
        <v/>
      </c>
      <c r="K27" s="63"/>
    </row>
    <row r="28" customFormat="false" ht="21.75" hidden="false" customHeight="true" outlineLevel="0" collapsed="false">
      <c r="A28" s="59" t="str">
        <f aca="false">IF(D28="","",COUNTA(D$7:D28))</f>
        <v/>
      </c>
      <c r="B28" s="60"/>
      <c r="C28" s="39"/>
      <c r="D28" s="39"/>
      <c r="E28" s="39"/>
      <c r="F28" s="39"/>
      <c r="G28" s="61"/>
      <c r="H28" s="61"/>
      <c r="I28" s="61"/>
      <c r="J28" s="62" t="str">
        <f aca="false">IF(AND(ISNUMBER(H28),ISNUMBER(I28),H28&lt;&gt;0),I28/H28,"")</f>
        <v/>
      </c>
      <c r="K28" s="63"/>
    </row>
    <row r="29" customFormat="false" ht="21.75" hidden="false" customHeight="true" outlineLevel="0" collapsed="false">
      <c r="A29" s="59" t="str">
        <f aca="false">IF(D29="","",COUNTA(D$7:D29))</f>
        <v/>
      </c>
      <c r="B29" s="60"/>
      <c r="C29" s="39"/>
      <c r="D29" s="39"/>
      <c r="E29" s="39"/>
      <c r="F29" s="39"/>
      <c r="G29" s="61"/>
      <c r="H29" s="61"/>
      <c r="I29" s="61"/>
      <c r="J29" s="62" t="str">
        <f aca="false">IF(AND(ISNUMBER(H29),ISNUMBER(I29),H29&lt;&gt;0),I29/H29,"")</f>
        <v/>
      </c>
      <c r="K29" s="63"/>
    </row>
    <row r="30" customFormat="false" ht="21.75" hidden="false" customHeight="true" outlineLevel="0" collapsed="false">
      <c r="A30" s="59" t="str">
        <f aca="false">IF(D30="","",COUNTA(D$7:D30))</f>
        <v/>
      </c>
      <c r="B30" s="60"/>
      <c r="C30" s="39"/>
      <c r="D30" s="39"/>
      <c r="E30" s="39"/>
      <c r="F30" s="39"/>
      <c r="G30" s="61"/>
      <c r="H30" s="61"/>
      <c r="I30" s="61"/>
      <c r="J30" s="62" t="str">
        <f aca="false">IF(AND(ISNUMBER(H30),ISNUMBER(I30),H30&lt;&gt;0),I30/H30,"")</f>
        <v/>
      </c>
      <c r="K30" s="63"/>
    </row>
    <row r="31" customFormat="false" ht="21.75" hidden="false" customHeight="true" outlineLevel="0" collapsed="false">
      <c r="A31" s="59" t="str">
        <f aca="false">IF(D31="","",COUNTA(D$7:D31))</f>
        <v/>
      </c>
      <c r="B31" s="60"/>
      <c r="C31" s="39"/>
      <c r="D31" s="39"/>
      <c r="E31" s="39"/>
      <c r="F31" s="39"/>
      <c r="G31" s="61"/>
      <c r="H31" s="61"/>
      <c r="I31" s="61"/>
      <c r="J31" s="62" t="str">
        <f aca="false">IF(AND(ISNUMBER(H31),ISNUMBER(I31),H31&lt;&gt;0),I31/H31,"")</f>
        <v/>
      </c>
      <c r="K31" s="63"/>
    </row>
    <row r="32" customFormat="false" ht="21.75" hidden="false" customHeight="true" outlineLevel="0" collapsed="false">
      <c r="A32" s="59" t="str">
        <f aca="false">IF(D32="","",COUNTA(D$7:D32))</f>
        <v/>
      </c>
      <c r="B32" s="60"/>
      <c r="C32" s="39"/>
      <c r="D32" s="39"/>
      <c r="E32" s="39"/>
      <c r="F32" s="39"/>
      <c r="G32" s="61"/>
      <c r="H32" s="61"/>
      <c r="I32" s="61"/>
      <c r="J32" s="62" t="str">
        <f aca="false">IF(AND(ISNUMBER(H32),ISNUMBER(I32),H32&lt;&gt;0),I32/H32,"")</f>
        <v/>
      </c>
      <c r="K32" s="63"/>
    </row>
    <row r="33" customFormat="false" ht="21.75" hidden="false" customHeight="true" outlineLevel="0" collapsed="false">
      <c r="A33" s="59" t="str">
        <f aca="false">IF(D33="","",COUNTA(D$7:D33))</f>
        <v/>
      </c>
      <c r="B33" s="60"/>
      <c r="C33" s="39"/>
      <c r="D33" s="39"/>
      <c r="E33" s="39"/>
      <c r="F33" s="39"/>
      <c r="G33" s="61"/>
      <c r="H33" s="61"/>
      <c r="I33" s="61"/>
      <c r="J33" s="62" t="str">
        <f aca="false">IF(AND(ISNUMBER(H33),ISNUMBER(I33),H33&lt;&gt;0),I33/H33,"")</f>
        <v/>
      </c>
      <c r="K33" s="63"/>
    </row>
    <row r="34" customFormat="false" ht="21.75" hidden="false" customHeight="true" outlineLevel="0" collapsed="false">
      <c r="A34" s="59" t="str">
        <f aca="false">IF(D34="","",COUNTA(D$7:D34))</f>
        <v/>
      </c>
      <c r="B34" s="60"/>
      <c r="C34" s="39"/>
      <c r="D34" s="39"/>
      <c r="E34" s="39"/>
      <c r="F34" s="39"/>
      <c r="G34" s="61"/>
      <c r="H34" s="61"/>
      <c r="I34" s="61"/>
      <c r="J34" s="62" t="str">
        <f aca="false">IF(AND(ISNUMBER(H34),ISNUMBER(I34),H34&lt;&gt;0),I34/H34,"")</f>
        <v/>
      </c>
      <c r="K34" s="63"/>
    </row>
    <row r="35" customFormat="false" ht="21.75" hidden="false" customHeight="true" outlineLevel="0" collapsed="false">
      <c r="A35" s="59" t="str">
        <f aca="false">IF(D35="","",COUNTA(D$7:D35))</f>
        <v/>
      </c>
      <c r="B35" s="60"/>
      <c r="C35" s="39"/>
      <c r="D35" s="39"/>
      <c r="E35" s="39"/>
      <c r="F35" s="39"/>
      <c r="G35" s="61"/>
      <c r="H35" s="61"/>
      <c r="I35" s="61"/>
      <c r="J35" s="62" t="str">
        <f aca="false">IF(AND(ISNUMBER(H35),ISNUMBER(I35),H35&lt;&gt;0),I35/H35,"")</f>
        <v/>
      </c>
      <c r="K35" s="63"/>
    </row>
    <row r="36" customFormat="false" ht="21.75" hidden="false" customHeight="true" outlineLevel="0" collapsed="false">
      <c r="A36" s="59" t="str">
        <f aca="false">IF(D36="","",COUNTA(D$7:D36))</f>
        <v/>
      </c>
      <c r="B36" s="60"/>
      <c r="C36" s="39"/>
      <c r="D36" s="39"/>
      <c r="E36" s="39"/>
      <c r="F36" s="39"/>
      <c r="G36" s="61"/>
      <c r="H36" s="61"/>
      <c r="I36" s="61"/>
      <c r="J36" s="62" t="str">
        <f aca="false">IF(AND(ISNUMBER(H36),ISNUMBER(I36),H36&lt;&gt;0),I36/H36,"")</f>
        <v/>
      </c>
      <c r="K36" s="63"/>
    </row>
    <row r="37" customFormat="false" ht="21.75" hidden="false" customHeight="true" outlineLevel="0" collapsed="false">
      <c r="A37" s="59" t="str">
        <f aca="false">IF(D37="","",COUNTA(D$7:D37))</f>
        <v/>
      </c>
      <c r="B37" s="60"/>
      <c r="C37" s="39"/>
      <c r="D37" s="39"/>
      <c r="E37" s="39"/>
      <c r="F37" s="39"/>
      <c r="G37" s="61"/>
      <c r="H37" s="61"/>
      <c r="I37" s="61"/>
      <c r="J37" s="62" t="str">
        <f aca="false">IF(AND(ISNUMBER(H37),ISNUMBER(I37),H37&lt;&gt;0),I37/H37,"")</f>
        <v/>
      </c>
      <c r="K37" s="63"/>
    </row>
    <row r="38" customFormat="false" ht="21.75" hidden="false" customHeight="true" outlineLevel="0" collapsed="false">
      <c r="A38" s="59" t="str">
        <f aca="false">IF(D38="","",COUNTA(D$7:D38))</f>
        <v/>
      </c>
      <c r="B38" s="60"/>
      <c r="C38" s="39"/>
      <c r="D38" s="39"/>
      <c r="E38" s="39"/>
      <c r="F38" s="39"/>
      <c r="G38" s="61"/>
      <c r="H38" s="61"/>
      <c r="I38" s="61"/>
      <c r="J38" s="62" t="str">
        <f aca="false">IF(AND(ISNUMBER(H38),ISNUMBER(I38),H38&lt;&gt;0),I38/H38,"")</f>
        <v/>
      </c>
      <c r="K38" s="63"/>
    </row>
    <row r="39" customFormat="false" ht="21.75" hidden="false" customHeight="true" outlineLevel="0" collapsed="false">
      <c r="A39" s="59" t="str">
        <f aca="false">IF(D39="","",COUNTA(D$7:D39))</f>
        <v/>
      </c>
      <c r="B39" s="60"/>
      <c r="C39" s="39"/>
      <c r="D39" s="39"/>
      <c r="E39" s="39"/>
      <c r="F39" s="39"/>
      <c r="G39" s="61"/>
      <c r="H39" s="61"/>
      <c r="I39" s="61"/>
      <c r="J39" s="62" t="str">
        <f aca="false">IF(AND(ISNUMBER(H39),ISNUMBER(I39),H39&lt;&gt;0),I39/H39,"")</f>
        <v/>
      </c>
      <c r="K39" s="63"/>
    </row>
    <row r="40" customFormat="false" ht="21.75" hidden="false" customHeight="true" outlineLevel="0" collapsed="false">
      <c r="A40" s="59" t="str">
        <f aca="false">IF(D40="","",COUNTA(D$7:D40))</f>
        <v/>
      </c>
      <c r="B40" s="60"/>
      <c r="C40" s="39"/>
      <c r="D40" s="39"/>
      <c r="E40" s="39"/>
      <c r="F40" s="39"/>
      <c r="G40" s="61"/>
      <c r="H40" s="61"/>
      <c r="I40" s="61"/>
      <c r="J40" s="62" t="str">
        <f aca="false">IF(AND(ISNUMBER(H40),ISNUMBER(I40),H40&lt;&gt;0),I40/H40,"")</f>
        <v/>
      </c>
      <c r="K40" s="63"/>
    </row>
    <row r="41" customFormat="false" ht="21.75" hidden="false" customHeight="true" outlineLevel="0" collapsed="false">
      <c r="A41" s="59" t="str">
        <f aca="false">IF(D41="","",COUNTA(D$7:D41))</f>
        <v/>
      </c>
      <c r="B41" s="60"/>
      <c r="C41" s="39"/>
      <c r="D41" s="39"/>
      <c r="E41" s="39"/>
      <c r="F41" s="39"/>
      <c r="G41" s="61"/>
      <c r="H41" s="61"/>
      <c r="I41" s="61"/>
      <c r="J41" s="62" t="str">
        <f aca="false">IF(AND(ISNUMBER(H41),ISNUMBER(I41),H41&lt;&gt;0),I41/H41,"")</f>
        <v/>
      </c>
      <c r="K41" s="63"/>
    </row>
    <row r="42" customFormat="false" ht="21.75" hidden="false" customHeight="true" outlineLevel="0" collapsed="false">
      <c r="A42" s="59" t="str">
        <f aca="false">IF(D42="","",COUNTA(D$7:D42))</f>
        <v/>
      </c>
      <c r="B42" s="60"/>
      <c r="C42" s="39"/>
      <c r="D42" s="39"/>
      <c r="E42" s="39"/>
      <c r="F42" s="39"/>
      <c r="G42" s="61"/>
      <c r="H42" s="61"/>
      <c r="I42" s="61"/>
      <c r="J42" s="62" t="str">
        <f aca="false">IF(AND(ISNUMBER(H42),ISNUMBER(I42),H42&lt;&gt;0),I42/H42,"")</f>
        <v/>
      </c>
      <c r="K42" s="63"/>
    </row>
    <row r="43" customFormat="false" ht="21.75" hidden="false" customHeight="true" outlineLevel="0" collapsed="false">
      <c r="A43" s="59" t="str">
        <f aca="false">IF(D43="","",COUNTA(D$7:D43))</f>
        <v/>
      </c>
      <c r="B43" s="60"/>
      <c r="C43" s="39"/>
      <c r="D43" s="39"/>
      <c r="E43" s="39"/>
      <c r="F43" s="39"/>
      <c r="G43" s="61"/>
      <c r="H43" s="61"/>
      <c r="I43" s="61"/>
      <c r="J43" s="62" t="str">
        <f aca="false">IF(AND(ISNUMBER(H43),ISNUMBER(I43),H43&lt;&gt;0),I43/H43,"")</f>
        <v/>
      </c>
      <c r="K43" s="63"/>
    </row>
    <row r="44" customFormat="false" ht="21.75" hidden="false" customHeight="true" outlineLevel="0" collapsed="false">
      <c r="A44" s="59" t="str">
        <f aca="false">IF(D44="","",COUNTA(D$7:D44))</f>
        <v/>
      </c>
      <c r="B44" s="60"/>
      <c r="C44" s="39"/>
      <c r="D44" s="39"/>
      <c r="E44" s="39"/>
      <c r="F44" s="39"/>
      <c r="G44" s="61"/>
      <c r="H44" s="61"/>
      <c r="I44" s="61"/>
      <c r="J44" s="62" t="str">
        <f aca="false">IF(AND(ISNUMBER(H44),ISNUMBER(I44),H44&lt;&gt;0),I44/H44,"")</f>
        <v/>
      </c>
      <c r="K44" s="63"/>
    </row>
    <row r="45" customFormat="false" ht="21.75" hidden="false" customHeight="true" outlineLevel="0" collapsed="false">
      <c r="A45" s="59" t="str">
        <f aca="false">IF(D45="","",COUNTA(D$7:D45))</f>
        <v/>
      </c>
      <c r="B45" s="60"/>
      <c r="C45" s="39"/>
      <c r="D45" s="39"/>
      <c r="E45" s="39"/>
      <c r="F45" s="39"/>
      <c r="G45" s="61"/>
      <c r="H45" s="61"/>
      <c r="I45" s="61"/>
      <c r="J45" s="62" t="str">
        <f aca="false">IF(AND(ISNUMBER(H45),ISNUMBER(I45),H45&lt;&gt;0),I45/H45,"")</f>
        <v/>
      </c>
      <c r="K45" s="63"/>
    </row>
    <row r="46" customFormat="false" ht="21.75" hidden="false" customHeight="true" outlineLevel="0" collapsed="false">
      <c r="A46" s="59" t="str">
        <f aca="false">IF(D46="","",COUNTA(D$7:D46))</f>
        <v/>
      </c>
      <c r="B46" s="60"/>
      <c r="C46" s="39"/>
      <c r="D46" s="39"/>
      <c r="E46" s="39"/>
      <c r="F46" s="39"/>
      <c r="G46" s="61"/>
      <c r="H46" s="61"/>
      <c r="I46" s="61"/>
      <c r="J46" s="62" t="str">
        <f aca="false">IF(AND(ISNUMBER(H46),ISNUMBER(I46),H46&lt;&gt;0),I46/H46,"")</f>
        <v/>
      </c>
      <c r="K46" s="63"/>
    </row>
    <row r="47" customFormat="false" ht="21.75" hidden="false" customHeight="true" outlineLevel="0" collapsed="false">
      <c r="A47" s="59" t="str">
        <f aca="false">IF(D47="","",COUNTA(D$7:D47))</f>
        <v/>
      </c>
      <c r="B47" s="60"/>
      <c r="C47" s="39"/>
      <c r="D47" s="39"/>
      <c r="E47" s="39"/>
      <c r="F47" s="39"/>
      <c r="G47" s="61"/>
      <c r="H47" s="61"/>
      <c r="I47" s="61"/>
      <c r="J47" s="62" t="str">
        <f aca="false">IF(AND(ISNUMBER(H47),ISNUMBER(I47),H47&lt;&gt;0),I47/H47,"")</f>
        <v/>
      </c>
      <c r="K47" s="63"/>
    </row>
    <row r="48" customFormat="false" ht="21.75" hidden="false" customHeight="true" outlineLevel="0" collapsed="false">
      <c r="A48" s="59" t="str">
        <f aca="false">IF(D48="","",COUNTA(D$7:D48))</f>
        <v/>
      </c>
      <c r="B48" s="60"/>
      <c r="C48" s="39"/>
      <c r="D48" s="39"/>
      <c r="E48" s="39"/>
      <c r="F48" s="39"/>
      <c r="G48" s="61"/>
      <c r="H48" s="61"/>
      <c r="I48" s="61"/>
      <c r="J48" s="62" t="str">
        <f aca="false">IF(AND(ISNUMBER(H48),ISNUMBER(I48),H48&lt;&gt;0),I48/H48,"")</f>
        <v/>
      </c>
      <c r="K48" s="63"/>
    </row>
    <row r="49" customFormat="false" ht="21.75" hidden="false" customHeight="true" outlineLevel="0" collapsed="false">
      <c r="A49" s="59" t="str">
        <f aca="false">IF(D49="","",COUNTA(D$7:D49))</f>
        <v/>
      </c>
      <c r="B49" s="60"/>
      <c r="C49" s="39"/>
      <c r="D49" s="39"/>
      <c r="E49" s="39"/>
      <c r="F49" s="39"/>
      <c r="G49" s="61"/>
      <c r="H49" s="61"/>
      <c r="I49" s="61"/>
      <c r="J49" s="62" t="str">
        <f aca="false">IF(AND(ISNUMBER(H49),ISNUMBER(I49),H49&lt;&gt;0),I49/H49,"")</f>
        <v/>
      </c>
      <c r="K49" s="63"/>
    </row>
    <row r="50" customFormat="false" ht="21.75" hidden="false" customHeight="true" outlineLevel="0" collapsed="false">
      <c r="A50" s="59" t="str">
        <f aca="false">IF(D50="","",COUNTA(D$7:D50))</f>
        <v/>
      </c>
      <c r="B50" s="60"/>
      <c r="C50" s="39"/>
      <c r="D50" s="39"/>
      <c r="E50" s="39"/>
      <c r="F50" s="39"/>
      <c r="G50" s="61"/>
      <c r="H50" s="61"/>
      <c r="I50" s="61"/>
      <c r="J50" s="62" t="str">
        <f aca="false">IF(AND(ISNUMBER(H50),ISNUMBER(I50),H50&lt;&gt;0),I50/H50,"")</f>
        <v/>
      </c>
      <c r="K50" s="63"/>
    </row>
    <row r="51" customFormat="false" ht="21.75" hidden="false" customHeight="true" outlineLevel="0" collapsed="false">
      <c r="A51" s="59" t="str">
        <f aca="false">IF(D51="","",COUNTA(D$7:D51))</f>
        <v/>
      </c>
      <c r="B51" s="60"/>
      <c r="C51" s="39"/>
      <c r="D51" s="39"/>
      <c r="E51" s="39"/>
      <c r="F51" s="39"/>
      <c r="G51" s="61"/>
      <c r="H51" s="61"/>
      <c r="I51" s="61"/>
      <c r="J51" s="62" t="str">
        <f aca="false">IF(AND(ISNUMBER(H51),ISNUMBER(I51),H51&lt;&gt;0),I51/H51,"")</f>
        <v/>
      </c>
      <c r="K51" s="63"/>
    </row>
    <row r="52" customFormat="false" ht="21.75" hidden="false" customHeight="true" outlineLevel="0" collapsed="false">
      <c r="A52" s="59" t="str">
        <f aca="false">IF(D52="","",COUNTA(D$7:D52))</f>
        <v/>
      </c>
      <c r="B52" s="60"/>
      <c r="C52" s="39"/>
      <c r="D52" s="39"/>
      <c r="E52" s="39"/>
      <c r="F52" s="39"/>
      <c r="G52" s="61"/>
      <c r="H52" s="61"/>
      <c r="I52" s="61"/>
      <c r="J52" s="62" t="str">
        <f aca="false">IF(AND(ISNUMBER(H52),ISNUMBER(I52),H52&lt;&gt;0),I52/H52,"")</f>
        <v/>
      </c>
      <c r="K52" s="63"/>
    </row>
    <row r="53" customFormat="false" ht="21.75" hidden="false" customHeight="true" outlineLevel="0" collapsed="false">
      <c r="A53" s="59" t="str">
        <f aca="false">IF(D53="","",COUNTA(D$7:D53))</f>
        <v/>
      </c>
      <c r="B53" s="60"/>
      <c r="C53" s="39"/>
      <c r="D53" s="39"/>
      <c r="E53" s="39"/>
      <c r="F53" s="39"/>
      <c r="G53" s="61"/>
      <c r="H53" s="61"/>
      <c r="I53" s="61"/>
      <c r="J53" s="62" t="str">
        <f aca="false">IF(AND(ISNUMBER(H53),ISNUMBER(I53),H53&lt;&gt;0),I53/H53,"")</f>
        <v/>
      </c>
      <c r="K53" s="63"/>
    </row>
    <row r="54" customFormat="false" ht="21.75" hidden="false" customHeight="true" outlineLevel="0" collapsed="false">
      <c r="A54" s="59" t="str">
        <f aca="false">IF(D54="","",COUNTA(D$7:D54))</f>
        <v/>
      </c>
      <c r="B54" s="60"/>
      <c r="C54" s="39"/>
      <c r="D54" s="39"/>
      <c r="E54" s="39"/>
      <c r="F54" s="39"/>
      <c r="G54" s="61"/>
      <c r="H54" s="61"/>
      <c r="I54" s="61"/>
      <c r="J54" s="62" t="str">
        <f aca="false">IF(AND(ISNUMBER(H54),ISNUMBER(I54),H54&lt;&gt;0),I54/H54,"")</f>
        <v/>
      </c>
      <c r="K54" s="63"/>
    </row>
    <row r="55" customFormat="false" ht="21.75" hidden="false" customHeight="true" outlineLevel="0" collapsed="false">
      <c r="A55" s="59" t="str">
        <f aca="false">IF(D55="","",COUNTA(D$7:D55))</f>
        <v/>
      </c>
      <c r="B55" s="60"/>
      <c r="C55" s="39"/>
      <c r="D55" s="39"/>
      <c r="E55" s="39"/>
      <c r="F55" s="39"/>
      <c r="G55" s="61"/>
      <c r="H55" s="61"/>
      <c r="I55" s="61"/>
      <c r="J55" s="62" t="str">
        <f aca="false">IF(AND(ISNUMBER(H55),ISNUMBER(I55),H55&lt;&gt;0),I55/H55,"")</f>
        <v/>
      </c>
      <c r="K55" s="63"/>
    </row>
    <row r="56" customFormat="false" ht="21.75" hidden="false" customHeight="true" outlineLevel="0" collapsed="false">
      <c r="A56" s="59" t="str">
        <f aca="false">IF(D56="","",COUNTA(D$7:D56))</f>
        <v/>
      </c>
      <c r="B56" s="60"/>
      <c r="C56" s="39"/>
      <c r="D56" s="39"/>
      <c r="E56" s="39"/>
      <c r="F56" s="39"/>
      <c r="G56" s="61"/>
      <c r="H56" s="61"/>
      <c r="I56" s="61"/>
      <c r="J56" s="62" t="str">
        <f aca="false">IF(AND(ISNUMBER(H56),ISNUMBER(I56),H56&lt;&gt;0),I56/H56,"")</f>
        <v/>
      </c>
      <c r="K56" s="63"/>
    </row>
    <row r="57" customFormat="false" ht="21.75" hidden="false" customHeight="true" outlineLevel="0" collapsed="false">
      <c r="A57" s="59" t="str">
        <f aca="false">IF(D57="","",COUNTA(D$7:D57))</f>
        <v/>
      </c>
      <c r="B57" s="60"/>
      <c r="C57" s="39"/>
      <c r="D57" s="39"/>
      <c r="E57" s="39"/>
      <c r="F57" s="39"/>
      <c r="G57" s="61"/>
      <c r="H57" s="61"/>
      <c r="I57" s="61"/>
      <c r="J57" s="62" t="str">
        <f aca="false">IF(AND(ISNUMBER(H57),ISNUMBER(I57),H57&lt;&gt;0),I57/H57,"")</f>
        <v/>
      </c>
      <c r="K57" s="63"/>
    </row>
    <row r="58" customFormat="false" ht="21.75" hidden="false" customHeight="true" outlineLevel="0" collapsed="false">
      <c r="A58" s="59" t="str">
        <f aca="false">IF(D58="","",COUNTA(D$7:D58))</f>
        <v/>
      </c>
      <c r="B58" s="60"/>
      <c r="C58" s="39"/>
      <c r="D58" s="39"/>
      <c r="E58" s="39"/>
      <c r="F58" s="39"/>
      <c r="G58" s="61"/>
      <c r="H58" s="61"/>
      <c r="I58" s="61"/>
      <c r="J58" s="62" t="str">
        <f aca="false">IF(AND(ISNUMBER(H58),ISNUMBER(I58),H58&lt;&gt;0),I58/H58,"")</f>
        <v/>
      </c>
      <c r="K58" s="63"/>
    </row>
    <row r="59" customFormat="false" ht="21.75" hidden="false" customHeight="true" outlineLevel="0" collapsed="false">
      <c r="A59" s="59" t="str">
        <f aca="false">IF(D59="","",COUNTA(D$7:D59))</f>
        <v/>
      </c>
      <c r="B59" s="60"/>
      <c r="C59" s="39"/>
      <c r="D59" s="39"/>
      <c r="E59" s="39"/>
      <c r="F59" s="39"/>
      <c r="G59" s="61"/>
      <c r="H59" s="61"/>
      <c r="I59" s="61"/>
      <c r="J59" s="62" t="str">
        <f aca="false">IF(AND(ISNUMBER(H59),ISNUMBER(I59),H59&lt;&gt;0),I59/H59,"")</f>
        <v/>
      </c>
      <c r="K59" s="63"/>
    </row>
    <row r="60" customFormat="false" ht="21.75" hidden="false" customHeight="true" outlineLevel="0" collapsed="false">
      <c r="A60" s="59" t="str">
        <f aca="false">IF(D60="","",COUNTA(D$7:D60))</f>
        <v/>
      </c>
      <c r="B60" s="60"/>
      <c r="C60" s="39"/>
      <c r="D60" s="39"/>
      <c r="E60" s="39"/>
      <c r="F60" s="39"/>
      <c r="G60" s="61"/>
      <c r="H60" s="61"/>
      <c r="I60" s="61"/>
      <c r="J60" s="62" t="str">
        <f aca="false">IF(AND(ISNUMBER(H60),ISNUMBER(I60),H60&lt;&gt;0),I60/H60,"")</f>
        <v/>
      </c>
      <c r="K60" s="63"/>
    </row>
    <row r="61" customFormat="false" ht="21.75" hidden="false" customHeight="true" outlineLevel="0" collapsed="false">
      <c r="A61" s="59" t="str">
        <f aca="false">IF(D61="","",COUNTA(D$7:D61))</f>
        <v/>
      </c>
      <c r="B61" s="60"/>
      <c r="C61" s="39"/>
      <c r="D61" s="39"/>
      <c r="E61" s="39"/>
      <c r="F61" s="39"/>
      <c r="G61" s="61"/>
      <c r="H61" s="61"/>
      <c r="I61" s="61"/>
      <c r="J61" s="62" t="str">
        <f aca="false">IF(AND(ISNUMBER(H61),ISNUMBER(I61),H61&lt;&gt;0),I61/H61,"")</f>
        <v/>
      </c>
      <c r="K61" s="63"/>
    </row>
    <row r="62" customFormat="false" ht="21.75" hidden="false" customHeight="true" outlineLevel="0" collapsed="false">
      <c r="A62" s="59" t="str">
        <f aca="false">IF(D62="","",COUNTA(D$7:D62))</f>
        <v/>
      </c>
      <c r="B62" s="60"/>
      <c r="C62" s="39"/>
      <c r="D62" s="39"/>
      <c r="E62" s="39"/>
      <c r="F62" s="39"/>
      <c r="G62" s="61"/>
      <c r="H62" s="61"/>
      <c r="I62" s="61"/>
      <c r="J62" s="62" t="str">
        <f aca="false">IF(AND(ISNUMBER(H62),ISNUMBER(I62),H62&lt;&gt;0),I62/H62,"")</f>
        <v/>
      </c>
      <c r="K62" s="63"/>
    </row>
    <row r="63" customFormat="false" ht="21.75" hidden="false" customHeight="true" outlineLevel="0" collapsed="false">
      <c r="A63" s="59" t="str">
        <f aca="false">IF(D63="","",COUNTA(D$7:D63))</f>
        <v/>
      </c>
      <c r="B63" s="60"/>
      <c r="C63" s="39"/>
      <c r="D63" s="39"/>
      <c r="E63" s="39"/>
      <c r="F63" s="39"/>
      <c r="G63" s="61"/>
      <c r="H63" s="61"/>
      <c r="I63" s="61"/>
      <c r="J63" s="62" t="str">
        <f aca="false">IF(AND(ISNUMBER(H63),ISNUMBER(I63),H63&lt;&gt;0),I63/H63,"")</f>
        <v/>
      </c>
      <c r="K63" s="63"/>
    </row>
    <row r="64" customFormat="false" ht="21.75" hidden="false" customHeight="true" outlineLevel="0" collapsed="false">
      <c r="A64" s="59" t="str">
        <f aca="false">IF(D64="","",COUNTA(D$7:D64))</f>
        <v/>
      </c>
      <c r="B64" s="60"/>
      <c r="C64" s="39"/>
      <c r="D64" s="39"/>
      <c r="E64" s="39"/>
      <c r="F64" s="39"/>
      <c r="G64" s="61"/>
      <c r="H64" s="61"/>
      <c r="I64" s="61"/>
      <c r="J64" s="62" t="str">
        <f aca="false">IF(AND(ISNUMBER(H64),ISNUMBER(I64),H64&lt;&gt;0),I64/H64,"")</f>
        <v/>
      </c>
      <c r="K64" s="63"/>
    </row>
    <row r="65" customFormat="false" ht="21.75" hidden="false" customHeight="true" outlineLevel="0" collapsed="false">
      <c r="A65" s="59" t="str">
        <f aca="false">IF(D65="","",COUNTA(D$7:D65))</f>
        <v/>
      </c>
      <c r="B65" s="60"/>
      <c r="C65" s="39"/>
      <c r="D65" s="39"/>
      <c r="E65" s="39"/>
      <c r="F65" s="39"/>
      <c r="G65" s="61"/>
      <c r="H65" s="61"/>
      <c r="I65" s="61"/>
      <c r="J65" s="62" t="str">
        <f aca="false">IF(AND(ISNUMBER(H65),ISNUMBER(I65),H65&lt;&gt;0),I65/H65,"")</f>
        <v/>
      </c>
      <c r="K65" s="63"/>
    </row>
    <row r="66" customFormat="false" ht="21.75" hidden="false" customHeight="true" outlineLevel="0" collapsed="false">
      <c r="A66" s="59" t="str">
        <f aca="false">IF(D66="","",COUNTA(D$7:D66))</f>
        <v/>
      </c>
      <c r="B66" s="60"/>
      <c r="C66" s="39"/>
      <c r="D66" s="39"/>
      <c r="E66" s="39"/>
      <c r="F66" s="39"/>
      <c r="G66" s="61"/>
      <c r="H66" s="61"/>
      <c r="I66" s="61"/>
      <c r="J66" s="62" t="str">
        <f aca="false">IF(AND(ISNUMBER(H66),ISNUMBER(I66),H66&lt;&gt;0),I66/H66,"")</f>
        <v/>
      </c>
      <c r="K66" s="63"/>
    </row>
    <row r="67" customFormat="false" ht="21.75" hidden="false" customHeight="true" outlineLevel="0" collapsed="false">
      <c r="A67" s="59" t="str">
        <f aca="false">IF(D67="","",COUNTA(D$7:D67))</f>
        <v/>
      </c>
      <c r="B67" s="60"/>
      <c r="C67" s="39"/>
      <c r="D67" s="39"/>
      <c r="E67" s="39"/>
      <c r="F67" s="39"/>
      <c r="G67" s="61"/>
      <c r="H67" s="61"/>
      <c r="I67" s="61"/>
      <c r="J67" s="62" t="str">
        <f aca="false">IF(AND(ISNUMBER(H67),ISNUMBER(I67),H67&lt;&gt;0),I67/H67,"")</f>
        <v/>
      </c>
      <c r="K67" s="63"/>
    </row>
    <row r="68" customFormat="false" ht="21.75" hidden="false" customHeight="true" outlineLevel="0" collapsed="false">
      <c r="A68" s="59" t="str">
        <f aca="false">IF(D68="","",COUNTA(D$7:D68))</f>
        <v/>
      </c>
      <c r="B68" s="60"/>
      <c r="C68" s="39"/>
      <c r="D68" s="39"/>
      <c r="E68" s="39"/>
      <c r="F68" s="39"/>
      <c r="G68" s="61"/>
      <c r="H68" s="61"/>
      <c r="I68" s="61"/>
      <c r="J68" s="62" t="str">
        <f aca="false">IF(AND(ISNUMBER(H68),ISNUMBER(I68),H68&lt;&gt;0),I68/H68,"")</f>
        <v/>
      </c>
      <c r="K68" s="63"/>
    </row>
    <row r="69" customFormat="false" ht="21.75" hidden="false" customHeight="true" outlineLevel="0" collapsed="false">
      <c r="A69" s="59" t="str">
        <f aca="false">IF(D69="","",COUNTA(D$7:D69))</f>
        <v/>
      </c>
      <c r="B69" s="60"/>
      <c r="C69" s="39"/>
      <c r="D69" s="39"/>
      <c r="E69" s="39"/>
      <c r="F69" s="39"/>
      <c r="G69" s="61"/>
      <c r="H69" s="61"/>
      <c r="I69" s="61"/>
      <c r="J69" s="62" t="str">
        <f aca="false">IF(AND(ISNUMBER(H69),ISNUMBER(I69),H69&lt;&gt;0),I69/H69,"")</f>
        <v/>
      </c>
      <c r="K69" s="63"/>
    </row>
    <row r="70" customFormat="false" ht="21.75" hidden="false" customHeight="true" outlineLevel="0" collapsed="false">
      <c r="A70" s="59" t="str">
        <f aca="false">IF(D70="","",COUNTA(D$7:D70))</f>
        <v/>
      </c>
      <c r="B70" s="60"/>
      <c r="C70" s="39"/>
      <c r="D70" s="39"/>
      <c r="E70" s="39"/>
      <c r="F70" s="39"/>
      <c r="G70" s="61"/>
      <c r="H70" s="61"/>
      <c r="I70" s="61"/>
      <c r="J70" s="62" t="str">
        <f aca="false">IF(AND(ISNUMBER(H70),ISNUMBER(I70),H70&lt;&gt;0),I70/H70,"")</f>
        <v/>
      </c>
      <c r="K70" s="63"/>
    </row>
    <row r="71" customFormat="false" ht="21.75" hidden="false" customHeight="true" outlineLevel="0" collapsed="false">
      <c r="A71" s="59" t="str">
        <f aca="false">IF(D71="","",COUNTA(D$7:D71))</f>
        <v/>
      </c>
      <c r="B71" s="60"/>
      <c r="C71" s="39"/>
      <c r="D71" s="39"/>
      <c r="E71" s="39"/>
      <c r="F71" s="39"/>
      <c r="G71" s="61"/>
      <c r="H71" s="61"/>
      <c r="I71" s="61"/>
      <c r="J71" s="62" t="str">
        <f aca="false">IF(AND(ISNUMBER(H71),ISNUMBER(I71),H71&lt;&gt;0),I71/H71,"")</f>
        <v/>
      </c>
      <c r="K71" s="63"/>
    </row>
    <row r="72" customFormat="false" ht="21.75" hidden="false" customHeight="true" outlineLevel="0" collapsed="false">
      <c r="A72" s="59" t="str">
        <f aca="false">IF(D72="","",COUNTA(D$7:D72))</f>
        <v/>
      </c>
      <c r="B72" s="60"/>
      <c r="C72" s="39"/>
      <c r="D72" s="39"/>
      <c r="E72" s="39"/>
      <c r="F72" s="39"/>
      <c r="G72" s="61"/>
      <c r="H72" s="61"/>
      <c r="I72" s="61"/>
      <c r="J72" s="62" t="str">
        <f aca="false">IF(AND(ISNUMBER(H72),ISNUMBER(I72),H72&lt;&gt;0),I72/H72,"")</f>
        <v/>
      </c>
      <c r="K72" s="63"/>
    </row>
    <row r="73" customFormat="false" ht="21.75" hidden="false" customHeight="true" outlineLevel="0" collapsed="false">
      <c r="A73" s="59" t="str">
        <f aca="false">IF(D73="","",COUNTA(D$7:D73))</f>
        <v/>
      </c>
      <c r="B73" s="60"/>
      <c r="C73" s="39"/>
      <c r="D73" s="39"/>
      <c r="E73" s="39"/>
      <c r="F73" s="39"/>
      <c r="G73" s="61"/>
      <c r="H73" s="61"/>
      <c r="I73" s="61"/>
      <c r="J73" s="62" t="str">
        <f aca="false">IF(AND(ISNUMBER(H73),ISNUMBER(I73),H73&lt;&gt;0),I73/H73,"")</f>
        <v/>
      </c>
      <c r="K73" s="63"/>
    </row>
    <row r="74" customFormat="false" ht="21.75" hidden="false" customHeight="true" outlineLevel="0" collapsed="false">
      <c r="A74" s="59" t="str">
        <f aca="false">IF(D74="","",COUNTA(D$7:D74))</f>
        <v/>
      </c>
      <c r="B74" s="60"/>
      <c r="C74" s="39"/>
      <c r="D74" s="39"/>
      <c r="E74" s="39"/>
      <c r="F74" s="39"/>
      <c r="G74" s="61"/>
      <c r="H74" s="61"/>
      <c r="I74" s="61"/>
      <c r="J74" s="62" t="str">
        <f aca="false">IF(AND(ISNUMBER(H74),ISNUMBER(I74),H74&lt;&gt;0),I74/H74,"")</f>
        <v/>
      </c>
      <c r="K74" s="63"/>
    </row>
    <row r="75" customFormat="false" ht="21.75" hidden="false" customHeight="true" outlineLevel="0" collapsed="false">
      <c r="A75" s="59" t="str">
        <f aca="false">IF(D75="","",COUNTA(D$7:D75))</f>
        <v/>
      </c>
      <c r="B75" s="60"/>
      <c r="C75" s="39"/>
      <c r="D75" s="39"/>
      <c r="E75" s="39"/>
      <c r="F75" s="39"/>
      <c r="G75" s="61"/>
      <c r="H75" s="61"/>
      <c r="I75" s="61"/>
      <c r="J75" s="62" t="str">
        <f aca="false">IF(AND(ISNUMBER(H75),ISNUMBER(I75),H75&lt;&gt;0),I75/H75,"")</f>
        <v/>
      </c>
      <c r="K75" s="63"/>
    </row>
    <row r="76" customFormat="false" ht="21.75" hidden="false" customHeight="true" outlineLevel="0" collapsed="false">
      <c r="A76" s="59" t="str">
        <f aca="false">IF(D76="","",COUNTA(D$7:D76))</f>
        <v/>
      </c>
      <c r="B76" s="60"/>
      <c r="C76" s="39"/>
      <c r="D76" s="39"/>
      <c r="E76" s="39"/>
      <c r="F76" s="39"/>
      <c r="G76" s="61"/>
      <c r="H76" s="61"/>
      <c r="I76" s="61"/>
      <c r="J76" s="62" t="str">
        <f aca="false">IF(AND(ISNUMBER(H76),ISNUMBER(I76),H76&lt;&gt;0),I76/H76,"")</f>
        <v/>
      </c>
      <c r="K76" s="63"/>
    </row>
    <row r="77" customFormat="false" ht="21.75" hidden="false" customHeight="true" outlineLevel="0" collapsed="false">
      <c r="A77" s="59" t="str">
        <f aca="false">IF(D77="","",COUNTA(D$7:D77))</f>
        <v/>
      </c>
      <c r="B77" s="60"/>
      <c r="C77" s="39"/>
      <c r="D77" s="39"/>
      <c r="E77" s="39"/>
      <c r="F77" s="39"/>
      <c r="G77" s="61"/>
      <c r="H77" s="61"/>
      <c r="I77" s="61"/>
      <c r="J77" s="62" t="str">
        <f aca="false">IF(AND(ISNUMBER(H77),ISNUMBER(I77),H77&lt;&gt;0),I77/H77,"")</f>
        <v/>
      </c>
      <c r="K77" s="63"/>
    </row>
    <row r="78" customFormat="false" ht="21.75" hidden="false" customHeight="true" outlineLevel="0" collapsed="false">
      <c r="A78" s="59" t="str">
        <f aca="false">IF(D78="","",COUNTA(D$7:D78))</f>
        <v/>
      </c>
      <c r="B78" s="60"/>
      <c r="C78" s="39"/>
      <c r="D78" s="39"/>
      <c r="E78" s="39"/>
      <c r="F78" s="39"/>
      <c r="G78" s="61"/>
      <c r="H78" s="61"/>
      <c r="I78" s="61"/>
      <c r="J78" s="62" t="str">
        <f aca="false">IF(AND(ISNUMBER(H78),ISNUMBER(I78),H78&lt;&gt;0),I78/H78,"")</f>
        <v/>
      </c>
      <c r="K78" s="63"/>
    </row>
    <row r="79" customFormat="false" ht="21.75" hidden="false" customHeight="true" outlineLevel="0" collapsed="false">
      <c r="A79" s="59" t="str">
        <f aca="false">IF(D79="","",COUNTA(D$7:D79))</f>
        <v/>
      </c>
      <c r="B79" s="60"/>
      <c r="C79" s="39"/>
      <c r="D79" s="39"/>
      <c r="E79" s="39"/>
      <c r="F79" s="39"/>
      <c r="G79" s="61"/>
      <c r="H79" s="61"/>
      <c r="I79" s="61"/>
      <c r="J79" s="62" t="str">
        <f aca="false">IF(AND(ISNUMBER(H79),ISNUMBER(I79),H79&lt;&gt;0),I79/H79,"")</f>
        <v/>
      </c>
      <c r="K79" s="63"/>
    </row>
    <row r="80" customFormat="false" ht="21.75" hidden="false" customHeight="true" outlineLevel="0" collapsed="false">
      <c r="A80" s="59" t="str">
        <f aca="false">IF(D80="","",COUNTA(D$7:D80))</f>
        <v/>
      </c>
      <c r="B80" s="60"/>
      <c r="C80" s="39"/>
      <c r="D80" s="39"/>
      <c r="E80" s="39"/>
      <c r="F80" s="39"/>
      <c r="G80" s="61"/>
      <c r="H80" s="61"/>
      <c r="I80" s="61"/>
      <c r="J80" s="62" t="str">
        <f aca="false">IF(AND(ISNUMBER(H80),ISNUMBER(I80),H80&lt;&gt;0),I80/H80,"")</f>
        <v/>
      </c>
      <c r="K80" s="63"/>
    </row>
    <row r="81" customFormat="false" ht="21.75" hidden="false" customHeight="true" outlineLevel="0" collapsed="false">
      <c r="A81" s="59" t="str">
        <f aca="false">IF(D81="","",COUNTA(D$7:D81))</f>
        <v/>
      </c>
      <c r="B81" s="60"/>
      <c r="C81" s="39"/>
      <c r="D81" s="39"/>
      <c r="E81" s="39"/>
      <c r="F81" s="39"/>
      <c r="G81" s="61"/>
      <c r="H81" s="61"/>
      <c r="I81" s="61"/>
      <c r="J81" s="62" t="str">
        <f aca="false">IF(AND(ISNUMBER(H81),ISNUMBER(I81),H81&lt;&gt;0),I81/H81,"")</f>
        <v/>
      </c>
      <c r="K81" s="63"/>
    </row>
    <row r="82" customFormat="false" ht="21.75" hidden="false" customHeight="true" outlineLevel="0" collapsed="false">
      <c r="A82" s="59" t="str">
        <f aca="false">IF(D82="","",COUNTA(D$7:D82))</f>
        <v/>
      </c>
      <c r="B82" s="60"/>
      <c r="C82" s="39"/>
      <c r="D82" s="39"/>
      <c r="E82" s="39"/>
      <c r="F82" s="39"/>
      <c r="G82" s="61"/>
      <c r="H82" s="61"/>
      <c r="I82" s="61"/>
      <c r="J82" s="62" t="str">
        <f aca="false">IF(AND(ISNUMBER(H82),ISNUMBER(I82),H82&lt;&gt;0),I82/H82,"")</f>
        <v/>
      </c>
      <c r="K82" s="63"/>
    </row>
    <row r="83" customFormat="false" ht="21.75" hidden="false" customHeight="true" outlineLevel="0" collapsed="false">
      <c r="A83" s="59" t="str">
        <f aca="false">IF(D83="","",COUNTA(D$7:D83))</f>
        <v/>
      </c>
      <c r="B83" s="60"/>
      <c r="C83" s="39"/>
      <c r="D83" s="39"/>
      <c r="E83" s="39"/>
      <c r="F83" s="39"/>
      <c r="G83" s="61"/>
      <c r="H83" s="61"/>
      <c r="I83" s="61"/>
      <c r="J83" s="62" t="str">
        <f aca="false">IF(AND(ISNUMBER(H83),ISNUMBER(I83),H83&lt;&gt;0),I83/H83,"")</f>
        <v/>
      </c>
      <c r="K83" s="63"/>
    </row>
    <row r="84" customFormat="false" ht="21.75" hidden="false" customHeight="true" outlineLevel="0" collapsed="false">
      <c r="A84" s="59" t="str">
        <f aca="false">IF(D84="","",COUNTA(D$7:D84))</f>
        <v/>
      </c>
      <c r="B84" s="60"/>
      <c r="C84" s="39"/>
      <c r="D84" s="39"/>
      <c r="E84" s="39"/>
      <c r="F84" s="39"/>
      <c r="G84" s="61"/>
      <c r="H84" s="61"/>
      <c r="I84" s="61"/>
      <c r="J84" s="62" t="str">
        <f aca="false">IF(AND(ISNUMBER(H84),ISNUMBER(I84),H84&lt;&gt;0),I84/H84,"")</f>
        <v/>
      </c>
      <c r="K84" s="63"/>
    </row>
    <row r="85" customFormat="false" ht="21.75" hidden="false" customHeight="true" outlineLevel="0" collapsed="false">
      <c r="A85" s="59" t="str">
        <f aca="false">IF(D85="","",COUNTA(D$7:D85))</f>
        <v/>
      </c>
      <c r="B85" s="60"/>
      <c r="C85" s="39"/>
      <c r="D85" s="39"/>
      <c r="E85" s="39"/>
      <c r="F85" s="39"/>
      <c r="G85" s="61"/>
      <c r="H85" s="61"/>
      <c r="I85" s="61"/>
      <c r="J85" s="62" t="str">
        <f aca="false">IF(AND(ISNUMBER(H85),ISNUMBER(I85),H85&lt;&gt;0),I85/H85,"")</f>
        <v/>
      </c>
      <c r="K85" s="63"/>
    </row>
    <row r="86" customFormat="false" ht="21.75" hidden="false" customHeight="true" outlineLevel="0" collapsed="false">
      <c r="A86" s="59" t="str">
        <f aca="false">IF(D86="","",COUNTA(D$7:D86))</f>
        <v/>
      </c>
      <c r="B86" s="60"/>
      <c r="C86" s="39"/>
      <c r="D86" s="39"/>
      <c r="E86" s="39"/>
      <c r="F86" s="39"/>
      <c r="G86" s="61"/>
      <c r="H86" s="61"/>
      <c r="I86" s="61"/>
      <c r="J86" s="62" t="str">
        <f aca="false">IF(AND(ISNUMBER(H86),ISNUMBER(I86),H86&lt;&gt;0),I86/H86,"")</f>
        <v/>
      </c>
      <c r="K86" s="63"/>
    </row>
    <row r="88" customFormat="false" ht="30" hidden="false" customHeight="true" outlineLevel="0" collapsed="false">
      <c r="A88" s="56" t="s">
        <v>457</v>
      </c>
      <c r="B88" s="56"/>
      <c r="C88" s="56"/>
      <c r="D88" s="56"/>
      <c r="E88" s="56"/>
      <c r="F88" s="56"/>
      <c r="G88" s="56"/>
      <c r="H88" s="56"/>
      <c r="I88" s="56"/>
      <c r="J88" s="56"/>
      <c r="K88" s="56"/>
    </row>
    <row r="89" customFormat="false" ht="43.5" hidden="false" customHeight="true" outlineLevel="0" collapsed="false">
      <c r="A89" s="58" t="s">
        <v>458</v>
      </c>
      <c r="B89" s="58"/>
      <c r="C89" s="58"/>
      <c r="D89" s="58"/>
      <c r="E89" s="58"/>
      <c r="F89" s="58"/>
      <c r="G89" s="58" t="s">
        <v>434</v>
      </c>
      <c r="H89" s="58" t="s">
        <v>435</v>
      </c>
      <c r="I89" s="58" t="s">
        <v>436</v>
      </c>
      <c r="J89" s="58" t="s">
        <v>437</v>
      </c>
      <c r="K89" s="58"/>
    </row>
    <row r="90" customFormat="false" ht="21" hidden="false" customHeight="true" outlineLevel="0" collapsed="false">
      <c r="A90" s="64" t="s">
        <v>459</v>
      </c>
      <c r="B90" s="64"/>
      <c r="C90" s="64"/>
      <c r="D90" s="64"/>
      <c r="E90" s="64"/>
      <c r="F90" s="64"/>
      <c r="G90" s="65" t="n">
        <f aca="false">IF($G$3="","",SUMIFS(G7:G86,$B7:$B86,$G$3,$C7:$C86,Data!$AG$2))</f>
        <v>300</v>
      </c>
      <c r="H90" s="65" t="n">
        <f aca="false">IF($G$3="","",SUMIFS(H7:H86,$B7:$B86,$G$3,$C7:$C86,Data!$AG$2))</f>
        <v>6</v>
      </c>
      <c r="I90" s="65" t="n">
        <f aca="false">IF($G$3="","",SUMIFS(I7:I86,$B7:$B86,$G$3,$C7:$C86,Data!$AG$2))</f>
        <v>6</v>
      </c>
      <c r="J90" s="66" t="n">
        <f aca="false">IFERROR(IF(H90=0,"-",I90/H90),"-")</f>
        <v>1</v>
      </c>
      <c r="K90" s="67"/>
    </row>
    <row r="91" customFormat="false" ht="21" hidden="false" customHeight="true" outlineLevel="0" collapsed="false">
      <c r="A91" s="64" t="s">
        <v>460</v>
      </c>
      <c r="B91" s="64"/>
      <c r="C91" s="64"/>
      <c r="D91" s="64"/>
      <c r="E91" s="64"/>
      <c r="F91" s="64"/>
      <c r="G91" s="65" t="n">
        <f aca="false">IF($G$3="","",SUMIFS(G7:G86,$B7:$B86,$G$3,$C7:$C86,Data!$AG$3))</f>
        <v>150</v>
      </c>
      <c r="H91" s="65" t="n">
        <f aca="false">IF($G$3="","",SUMIFS(H7:H86,$B7:$B86,$G$3,$C7:$C86,Data!$AG$3))</f>
        <v>2</v>
      </c>
      <c r="I91" s="65" t="n">
        <f aca="false">IF($G$3="","",SUMIFS(I7:I86,$B7:$B86,$G$3,$C7:$C86,Data!$AG$3))</f>
        <v>3</v>
      </c>
      <c r="J91" s="66" t="n">
        <f aca="false">IFERROR(IF(H91=0,"-",I91/H91),"-")</f>
        <v>1.5</v>
      </c>
      <c r="K91" s="67"/>
    </row>
    <row r="92" customFormat="false" ht="21" hidden="false" customHeight="true" outlineLevel="0" collapsed="false">
      <c r="A92" s="64" t="s">
        <v>461</v>
      </c>
      <c r="B92" s="64"/>
      <c r="C92" s="64"/>
      <c r="D92" s="64"/>
      <c r="E92" s="64"/>
      <c r="F92" s="64"/>
      <c r="G92" s="65" t="n">
        <f aca="false">IF($G$3="","",SUMIFS(G7:G86,$B7:$B86,$G$3,$C7:$C86,Data!$AG$4))</f>
        <v>0</v>
      </c>
      <c r="H92" s="65" t="n">
        <f aca="false">IF($G$3="","",SUMIFS(H7:H86,$B7:$B86,$G$3,$C7:$C86,Data!$AG$4))</f>
        <v>0</v>
      </c>
      <c r="I92" s="65" t="n">
        <f aca="false">IF($G$3="","",SUMIFS(I7:I86,$B7:$B86,$G$3,$C7:$C86,Data!$AG$4))</f>
        <v>0</v>
      </c>
      <c r="J92" s="66" t="str">
        <f aca="false">IFERROR(IF(H92=0,"-",I92/H92),"-")</f>
        <v>-</v>
      </c>
      <c r="K92" s="67"/>
    </row>
    <row r="93" customFormat="false" ht="21" hidden="false" customHeight="true" outlineLevel="0" collapsed="false">
      <c r="A93" s="68" t="s">
        <v>462</v>
      </c>
      <c r="B93" s="68"/>
      <c r="C93" s="68"/>
      <c r="D93" s="68"/>
      <c r="E93" s="68"/>
      <c r="F93" s="68"/>
      <c r="G93" s="69" t="n">
        <f aca="false">IF($G$3="","",SUMIFS(G7:G86,$B7:$B86,$G$3))</f>
        <v>450</v>
      </c>
      <c r="H93" s="69" t="n">
        <f aca="false">IF($G$3="","",SUMIFS(H7:H86,$B7:$B86,$G$3))</f>
        <v>8</v>
      </c>
      <c r="I93" s="69" t="n">
        <f aca="false">IF($G$3="","",SUMIFS(I7:I86,$B7:$B86,$G$3))</f>
        <v>9</v>
      </c>
      <c r="J93" s="70" t="n">
        <f aca="false">IFERROR(IF(H93=0,"-",I93/H93),"-")</f>
        <v>1.125</v>
      </c>
      <c r="K93" s="71"/>
    </row>
    <row r="94" customFormat="false" ht="21" hidden="false" customHeight="true" outlineLevel="0" collapsed="false">
      <c r="A94" s="64" t="s">
        <v>463</v>
      </c>
      <c r="B94" s="64"/>
      <c r="C94" s="64"/>
      <c r="D94" s="64"/>
      <c r="E94" s="64"/>
      <c r="F94" s="64"/>
      <c r="G94" s="65" t="n">
        <f aca="false">SUMIFS(G7:G86,$C7:$C86,Data!$AG$2)</f>
        <v>500</v>
      </c>
      <c r="H94" s="65" t="n">
        <f aca="false">SUMIFS(H7:H86,$C7:$C86,Data!$AG$2)</f>
        <v>11</v>
      </c>
      <c r="I94" s="65" t="n">
        <f aca="false">SUMIFS(I7:I86,$C7:$C86,Data!$AG$2)</f>
        <v>10</v>
      </c>
      <c r="J94" s="66" t="n">
        <f aca="false">IFERROR(IF(H94=0,"-",I94/H94),"-")</f>
        <v>0.909090909090909</v>
      </c>
      <c r="K94" s="67"/>
    </row>
    <row r="95" customFormat="false" ht="21" hidden="false" customHeight="true" outlineLevel="0" collapsed="false">
      <c r="A95" s="64" t="s">
        <v>464</v>
      </c>
      <c r="B95" s="64"/>
      <c r="C95" s="64"/>
      <c r="D95" s="64"/>
      <c r="E95" s="64"/>
      <c r="F95" s="64"/>
      <c r="G95" s="65" t="n">
        <f aca="false">SUMIFS(G7:G86,$C7:$C86,Data!$AG$3)</f>
        <v>150</v>
      </c>
      <c r="H95" s="65" t="n">
        <f aca="false">SUMIFS(H7:H86,$C7:$C86,Data!$AG$3)</f>
        <v>2</v>
      </c>
      <c r="I95" s="65" t="n">
        <f aca="false">SUMIFS(I7:I86,$C7:$C86,Data!$AG$3)</f>
        <v>3</v>
      </c>
      <c r="J95" s="66" t="n">
        <f aca="false">IFERROR(IF(H95=0,"-",I95/H95),"-")</f>
        <v>1.5</v>
      </c>
      <c r="K95" s="67"/>
    </row>
    <row r="96" customFormat="false" ht="21" hidden="false" customHeight="true" outlineLevel="0" collapsed="false">
      <c r="A96" s="64" t="s">
        <v>465</v>
      </c>
      <c r="B96" s="64"/>
      <c r="C96" s="64"/>
      <c r="D96" s="64"/>
      <c r="E96" s="64"/>
      <c r="F96" s="64"/>
      <c r="G96" s="65" t="n">
        <f aca="false">SUMIFS(G7:G86,$C7:$C86,Data!$AG$4)</f>
        <v>55</v>
      </c>
      <c r="H96" s="65" t="n">
        <f aca="false">SUMIFS(H7:H86,$C7:$C86,Data!$AG$4)</f>
        <v>6</v>
      </c>
      <c r="I96" s="65" t="n">
        <f aca="false">SUMIFS(I7:I86,$C7:$C86,Data!$AG$4)</f>
        <v>2</v>
      </c>
      <c r="J96" s="66" t="n">
        <f aca="false">IFERROR(IF(H96=0,"-",I96/H96),"-")</f>
        <v>0.333333333333333</v>
      </c>
      <c r="K96" s="67"/>
    </row>
    <row r="97" customFormat="false" ht="21" hidden="false" customHeight="true" outlineLevel="0" collapsed="false">
      <c r="A97" s="72" t="s">
        <v>466</v>
      </c>
      <c r="B97" s="72"/>
      <c r="C97" s="72"/>
      <c r="D97" s="72"/>
      <c r="E97" s="72"/>
      <c r="F97" s="72"/>
      <c r="G97" s="73" t="n">
        <f aca="false">SUM(G7:G86)</f>
        <v>705</v>
      </c>
      <c r="H97" s="73" t="n">
        <f aca="false">SUM(H7:H86)</f>
        <v>19</v>
      </c>
      <c r="I97" s="73" t="n">
        <f aca="false">SUM(I7:I86)</f>
        <v>15</v>
      </c>
      <c r="J97" s="74" t="n">
        <f aca="false">IFERROR(IF(H97=0,"-",I97/H97),"-")</f>
        <v>0.789473684210526</v>
      </c>
      <c r="K97" s="75"/>
    </row>
  </sheetData>
  <autoFilter ref="A6:K86"/>
  <mergeCells count="16">
    <mergeCell ref="A1:K1"/>
    <mergeCell ref="A2:K2"/>
    <mergeCell ref="A3:C3"/>
    <mergeCell ref="D3:E3"/>
    <mergeCell ref="H3:K3"/>
    <mergeCell ref="A5:K5"/>
    <mergeCell ref="A88:K88"/>
    <mergeCell ref="A89:F89"/>
    <mergeCell ref="A90:F90"/>
    <mergeCell ref="A91:F91"/>
    <mergeCell ref="A92:F92"/>
    <mergeCell ref="A93:F93"/>
    <mergeCell ref="A94:F94"/>
    <mergeCell ref="A95:F95"/>
    <mergeCell ref="A96:F96"/>
    <mergeCell ref="A97:F97"/>
  </mergeCells>
  <conditionalFormatting sqref="A7:K86">
    <cfRule type="expression" priority="2" aboveAverage="0" equalAverage="0" bottom="0" percent="0" rank="0" text="" dxfId="8">
      <formula>AND($G$3&lt;&gt;"",$B7=$G$3)</formula>
    </cfRule>
  </conditionalFormatting>
  <dataValidations count="2">
    <dataValidation allowBlank="true" error="اختر قيمة من القائمة / Choose a value from the list" errorStyle="stop" errorTitle="قيمة غير صحيحة / Invalid value" operator="between" showDropDown="false" showErrorMessage="true" showInputMessage="false" sqref="B7:B86" type="list">
      <formula1>lst_Period</formula1>
      <formula2>0</formula2>
    </dataValidation>
    <dataValidation allowBlank="true" error="اختر قيمة من القائمة / Choose a value from the list" errorStyle="stop" errorTitle="قيمة غير صحيحة / Invalid value" operator="between" showDropDown="false" showErrorMessage="true" showInputMessage="false" sqref="C7:C86" type="list">
      <formula1>lst_ActType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2"/>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6796875" defaultRowHeight="15" zeroHeight="false" outlineLevelRow="0" outlineLevelCol="0"/>
  <cols>
    <col collapsed="false" customWidth="true" hidden="false" outlineLevel="0" max="1" min="1" style="0" width="4.29"/>
    <col collapsed="false" customWidth="true" hidden="false" outlineLevel="0" max="2" min="2" style="0" width="54.29"/>
    <col collapsed="false" customWidth="true" hidden="false" outlineLevel="0" max="3" min="3" style="0" width="16.71"/>
    <col collapsed="false" customWidth="true" hidden="false" outlineLevel="0" max="4" min="4" style="0" width="22.57"/>
    <col collapsed="false" customWidth="true" hidden="false" outlineLevel="0" max="5" min="5" style="0" width="17"/>
    <col collapsed="false" customWidth="true" hidden="false" outlineLevel="0" max="6" min="6" style="0" width="18.29"/>
    <col collapsed="false" customWidth="true" hidden="false" outlineLevel="0" max="7" min="7" style="0" width="16"/>
    <col collapsed="false" customWidth="true" hidden="false" outlineLevel="0" max="8" min="8" style="0" width="29.86"/>
    <col collapsed="false" customWidth="true" hidden="false" outlineLevel="0" max="9" min="9" style="0" width="13"/>
  </cols>
  <sheetData>
    <row r="1" customFormat="false" ht="46.5" hidden="false" customHeight="true" outlineLevel="0" collapsed="false">
      <c r="A1" s="76" t="s">
        <v>0</v>
      </c>
      <c r="B1" s="76"/>
      <c r="C1" s="76"/>
      <c r="D1" s="76"/>
      <c r="E1" s="76"/>
      <c r="F1" s="76"/>
      <c r="G1" s="76"/>
      <c r="H1" s="76"/>
    </row>
    <row r="2" customFormat="false" ht="35.25" hidden="false" customHeight="true" outlineLevel="0" collapsed="false">
      <c r="A2" s="77" t="s">
        <v>467</v>
      </c>
      <c r="B2" s="77"/>
      <c r="C2" s="77"/>
      <c r="D2" s="77"/>
      <c r="E2" s="77"/>
      <c r="F2" s="77"/>
      <c r="G2" s="77"/>
      <c r="H2" s="77"/>
    </row>
    <row r="3" customFormat="false" ht="46.5" hidden="false" customHeight="true" outlineLevel="0" collapsed="false">
      <c r="A3" s="78"/>
      <c r="B3" s="79" t="s">
        <v>468</v>
      </c>
      <c r="C3" s="80" t="s">
        <v>469</v>
      </c>
      <c r="D3" s="81" t="s">
        <v>470</v>
      </c>
      <c r="E3" s="81" t="s">
        <v>471</v>
      </c>
    </row>
    <row r="4" customFormat="false" ht="33.75" hidden="false" customHeight="true" outlineLevel="0" collapsed="false">
      <c r="A4" s="78"/>
      <c r="B4" s="82" t="str">
        <f aca="false">IF('KPI Tracking'!F3="","",'KPI Tracking'!F3)</f>
        <v>مؤسسة زمزم Zamzam Foundation</v>
      </c>
      <c r="C4" s="83" t="str">
        <f aca="false">IF('KPI Tracking'!P3="","",'KPI Tracking'!P3)</f>
        <v>Q2</v>
      </c>
      <c r="D4" s="83"/>
      <c r="E4" s="84"/>
    </row>
    <row r="5" customFormat="false" ht="35.25" hidden="false" customHeight="true" outlineLevel="0" collapsed="false">
      <c r="A5" s="85" t="s">
        <v>472</v>
      </c>
      <c r="B5" s="85"/>
      <c r="C5" s="85"/>
      <c r="D5" s="85"/>
      <c r="E5" s="85"/>
      <c r="F5" s="85"/>
      <c r="G5" s="85"/>
      <c r="H5" s="85"/>
    </row>
    <row r="6" customFormat="false" ht="25.5" hidden="false" customHeight="true" outlineLevel="0" collapsed="false">
      <c r="A6" s="86" t="s">
        <v>473</v>
      </c>
    </row>
    <row r="7" customFormat="false" ht="35.25" hidden="false" customHeight="true" outlineLevel="0" collapsed="false">
      <c r="A7" s="87" t="s">
        <v>474</v>
      </c>
      <c r="B7" s="87"/>
      <c r="C7" s="87"/>
      <c r="D7" s="87"/>
      <c r="E7" s="87"/>
      <c r="F7" s="87"/>
      <c r="G7" s="87"/>
      <c r="H7" s="87"/>
    </row>
    <row r="8" customFormat="false" ht="30.75" hidden="false" customHeight="true" outlineLevel="0" collapsed="false">
      <c r="A8" s="88" t="s">
        <v>359</v>
      </c>
      <c r="B8" s="79" t="s">
        <v>475</v>
      </c>
      <c r="C8" s="79" t="s">
        <v>476</v>
      </c>
      <c r="D8" s="79" t="s">
        <v>477</v>
      </c>
      <c r="E8" s="79" t="s">
        <v>478</v>
      </c>
      <c r="F8" s="79" t="s">
        <v>479</v>
      </c>
      <c r="G8" s="79" t="s">
        <v>480</v>
      </c>
      <c r="H8" s="79"/>
    </row>
    <row r="9" customFormat="false" ht="20.25" hidden="false" customHeight="true" outlineLevel="0" collapsed="false">
      <c r="A9" s="89" t="n">
        <v>1</v>
      </c>
      <c r="B9" s="90" t="s">
        <v>481</v>
      </c>
      <c r="C9" s="91" t="n">
        <f aca="false">N('KPI Tracking'!J36)/100</f>
        <v>0.25</v>
      </c>
      <c r="D9" s="92" t="n">
        <f aca="false">IFERROR(E9/C9,0)</f>
        <v>0.761</v>
      </c>
      <c r="E9" s="92" t="n">
        <f aca="false">N('KPI Tracking'!X36)/100</f>
        <v>0.19025</v>
      </c>
      <c r="F9" s="93" t="str">
        <f aca="false">IF(AND(ISNUMBER(D9),C9&gt;0),LOOKUP(D9,Data!$AD$2:$AD$5,Data!$AE$2:$AE$5),"")</f>
        <v>جيد Good</v>
      </c>
      <c r="G9" s="94"/>
      <c r="H9" s="95"/>
    </row>
    <row r="10" customFormat="false" ht="20.25" hidden="false" customHeight="true" outlineLevel="0" collapsed="false">
      <c r="A10" s="89" t="n">
        <v>2</v>
      </c>
      <c r="B10" s="90" t="s">
        <v>482</v>
      </c>
      <c r="C10" s="91" t="n">
        <f aca="false">N('KPI Tracking'!J70)/100</f>
        <v>0.25</v>
      </c>
      <c r="D10" s="92" t="n">
        <f aca="false">IFERROR(E10/C10,0)</f>
        <v>0.76</v>
      </c>
      <c r="E10" s="92" t="n">
        <f aca="false">N('KPI Tracking'!X70)/100</f>
        <v>0.19</v>
      </c>
      <c r="F10" s="93" t="str">
        <f aca="false">IF(AND(ISNUMBER(D10),C10&gt;0),LOOKUP(D10,Data!$AD$2:$AD$5,Data!$AE$2:$AE$5),"")</f>
        <v>جيد Good</v>
      </c>
      <c r="G10" s="94"/>
      <c r="H10" s="95"/>
    </row>
    <row r="11" customFormat="false" ht="20.25" hidden="false" customHeight="true" outlineLevel="0" collapsed="false">
      <c r="A11" s="89" t="n">
        <v>3</v>
      </c>
      <c r="B11" s="90" t="s">
        <v>483</v>
      </c>
      <c r="C11" s="91" t="n">
        <f aca="false">N('KPI Tracking'!J104)/100</f>
        <v>0.25</v>
      </c>
      <c r="D11" s="92" t="n">
        <f aca="false">IFERROR(E11/C11,0)</f>
        <v>0.6</v>
      </c>
      <c r="E11" s="92" t="n">
        <f aca="false">N('KPI Tracking'!X104)/100</f>
        <v>0.15</v>
      </c>
      <c r="F11" s="93" t="str">
        <f aca="false">IF(AND(ISNUMBER(D11),C11&gt;0),LOOKUP(D11,Data!$AD$2:$AD$5,Data!$AE$2:$AE$5),"")</f>
        <v>متوسط Average</v>
      </c>
      <c r="G11" s="94"/>
      <c r="H11" s="95"/>
    </row>
    <row r="12" customFormat="false" ht="20.25" hidden="false" customHeight="true" outlineLevel="0" collapsed="false">
      <c r="A12" s="89" t="n">
        <v>4</v>
      </c>
      <c r="B12" s="90" t="s">
        <v>484</v>
      </c>
      <c r="C12" s="91" t="n">
        <f aca="false">N('KPI Tracking'!J138)/100</f>
        <v>0.25</v>
      </c>
      <c r="D12" s="92" t="n">
        <f aca="false">IFERROR(E12/C12,0)</f>
        <v>0.678947368421053</v>
      </c>
      <c r="E12" s="92" t="n">
        <f aca="false">N('KPI Tracking'!X138)/100</f>
        <v>0.169736842105263</v>
      </c>
      <c r="F12" s="93" t="str">
        <f aca="false">IF(AND(ISNUMBER(D12),C12&gt;0),LOOKUP(D12,Data!$AD$2:$AD$5,Data!$AE$2:$AE$5),"")</f>
        <v>متوسط Average</v>
      </c>
      <c r="G12" s="94"/>
      <c r="H12" s="95"/>
    </row>
    <row r="13" customFormat="false" ht="20.25" hidden="false" customHeight="true" outlineLevel="0" collapsed="false">
      <c r="A13" s="96" t="s">
        <v>485</v>
      </c>
      <c r="B13" s="96"/>
      <c r="C13" s="92" t="n">
        <f aca="false">IFERROR(SUM(C9:C12),0)</f>
        <v>1</v>
      </c>
      <c r="D13" s="92" t="n">
        <f aca="false">IFERROR(E13/C13,0)</f>
        <v>0.699986842105263</v>
      </c>
      <c r="E13" s="97" t="n">
        <f aca="false">IFERROR(SUM(E9:E12),0)</f>
        <v>0.699986842105263</v>
      </c>
      <c r="F13" s="93" t="str">
        <f aca="false">IF(AND(ISNUMBER(D13),C13&gt;0),LOOKUP(D13,Data!$AD$2:$AD$5,Data!$AE$2:$AE$5),"")</f>
        <v>متوسط Average</v>
      </c>
      <c r="G13" s="98"/>
      <c r="H13" s="98"/>
    </row>
    <row r="14" customFormat="false" ht="25.5" hidden="false" customHeight="true" outlineLevel="0" collapsed="false"/>
    <row r="15" customFormat="false" ht="35.25" hidden="false" customHeight="true" outlineLevel="0" collapsed="false">
      <c r="A15" s="87" t="s">
        <v>486</v>
      </c>
      <c r="B15" s="87"/>
      <c r="C15" s="87"/>
      <c r="D15" s="87"/>
      <c r="E15" s="87"/>
      <c r="F15" s="87"/>
      <c r="G15" s="87"/>
      <c r="H15" s="87"/>
    </row>
    <row r="16" customFormat="false" ht="30.75" hidden="false" customHeight="true" outlineLevel="0" collapsed="false">
      <c r="A16" s="88" t="s">
        <v>359</v>
      </c>
      <c r="B16" s="79" t="s">
        <v>487</v>
      </c>
      <c r="C16" s="79" t="s">
        <v>488</v>
      </c>
      <c r="D16" s="79" t="s">
        <v>489</v>
      </c>
      <c r="E16" s="79" t="s">
        <v>490</v>
      </c>
      <c r="F16" s="79" t="s">
        <v>491</v>
      </c>
      <c r="G16" s="79" t="s">
        <v>492</v>
      </c>
      <c r="H16" s="79"/>
    </row>
    <row r="17" customFormat="false" ht="32.25" hidden="false" customHeight="true" outlineLevel="0" collapsed="false">
      <c r="A17" s="89" t="n">
        <f aca="false">ROW()-ROW($A$16)</f>
        <v>1</v>
      </c>
      <c r="B17" s="90" t="s">
        <v>493</v>
      </c>
      <c r="C17" s="99" t="n">
        <f aca="false">IF('KPI Tracking'!$P$3="",SUMIFS(الأنشطة!H7:H86,الأنشطة!C7:C86,Data!$AG$2),SUMPRODUCT((الأنشطة!B7:B86&lt;&gt;"")*(RIGHT(الأنشطة!B7:B86,1)&lt;=RIGHT('KPI Tracking'!$P$3,1))*(الأنشطة!C7:C86=Data!$AG$2)*الأنشطة!H7:H86))</f>
        <v>11</v>
      </c>
      <c r="D17" s="99" t="n">
        <f aca="false">IF('KPI Tracking'!$P$3="",SUMIFS(الأنشطة!I7:I86,الأنشطة!C7:C86,Data!$AG$2),SUMPRODUCT((الأنشطة!B7:B86&lt;&gt;"")*(RIGHT(الأنشطة!B7:B86,1)&lt;=RIGHT('KPI Tracking'!$P$3,1))*(الأنشطة!C7:C86=Data!$AG$2)*الأنشطة!I7:I86))</f>
        <v>10</v>
      </c>
      <c r="E17" s="92" t="n">
        <f aca="false">IFERROR(D17/C17,"-")</f>
        <v>0.909090909090909</v>
      </c>
      <c r="F17" s="93" t="str">
        <f aca="false">IF(ISNUMBER(E17),LOOKUP(E17,Data!$AD$2:$AD$5,Data!$AE$2:$AE$5),"")</f>
        <v>ممتاز Excellent</v>
      </c>
      <c r="G17" s="94"/>
      <c r="H17" s="95"/>
    </row>
    <row r="18" customFormat="false" ht="32.25" hidden="false" customHeight="true" outlineLevel="0" collapsed="false">
      <c r="A18" s="89" t="n">
        <f aca="false">ROW()-ROW($A$16)</f>
        <v>2</v>
      </c>
      <c r="B18" s="90" t="s">
        <v>494</v>
      </c>
      <c r="C18" s="100" t="n">
        <v>600</v>
      </c>
      <c r="D18" s="99" t="n">
        <f aca="false">IF('KPI Tracking'!$P$3="",SUMIFS(الأنشطة!G7:G86,الأنشطة!C7:C86,Data!$AG$2),SUMPRODUCT((الأنشطة!B7:B86&lt;&gt;"")*(RIGHT(الأنشطة!B7:B86,1)&lt;=RIGHT('KPI Tracking'!$P$3,1))*(الأنشطة!C7:C86=Data!$AG$2)*الأنشطة!G7:G86))</f>
        <v>500</v>
      </c>
      <c r="E18" s="92" t="n">
        <f aca="false">IFERROR(D18/C18,"-")</f>
        <v>0.833333333333333</v>
      </c>
      <c r="F18" s="93" t="str">
        <f aca="false">IF(ISNUMBER(E18),LOOKUP(E18,Data!$AD$2:$AD$5,Data!$AE$2:$AE$5),"")</f>
        <v>جيد Good</v>
      </c>
      <c r="G18" s="94"/>
      <c r="H18" s="95"/>
    </row>
    <row r="19" customFormat="false" ht="32.25" hidden="false" customHeight="true" outlineLevel="0" collapsed="false">
      <c r="A19" s="89" t="n">
        <f aca="false">ROW()-ROW($A$16)</f>
        <v>3</v>
      </c>
      <c r="B19" s="90" t="s">
        <v>495</v>
      </c>
      <c r="C19" s="99" t="n">
        <f aca="false">IF('KPI Tracking'!$P$3="",SUMIFS(الأنشطة!H7:H86,الأنشطة!C7:C86,Data!$AG$3),SUMPRODUCT((الأنشطة!B7:B86&lt;&gt;"")*(RIGHT(الأنشطة!B7:B86,1)&lt;=RIGHT('KPI Tracking'!$P$3,1))*(الأنشطة!C7:C86=Data!$AG$3)*الأنشطة!H7:H86))</f>
        <v>2</v>
      </c>
      <c r="D19" s="99" t="n">
        <f aca="false">IF('KPI Tracking'!$P$3="",SUMIFS(الأنشطة!I7:I86,الأنشطة!C7:C86,Data!$AG$3),SUMPRODUCT((الأنشطة!B7:B86&lt;&gt;"")*(RIGHT(الأنشطة!B7:B86,1)&lt;=RIGHT('KPI Tracking'!$P$3,1))*(الأنشطة!C7:C86=Data!$AG$3)*الأنشطة!I7:I86))</f>
        <v>3</v>
      </c>
      <c r="E19" s="92" t="n">
        <f aca="false">IFERROR(D19/C19,"-")</f>
        <v>1.5</v>
      </c>
      <c r="F19" s="93" t="str">
        <f aca="false">IF(ISNUMBER(E19),LOOKUP(E19,Data!$AD$2:$AD$5,Data!$AE$2:$AE$5),"")</f>
        <v>ممتاز Excellent</v>
      </c>
      <c r="G19" s="94"/>
      <c r="H19" s="95"/>
    </row>
    <row r="20" customFormat="false" ht="32.25" hidden="false" customHeight="true" outlineLevel="0" collapsed="false">
      <c r="A20" s="89" t="n">
        <f aca="false">ROW()-ROW($A$16)</f>
        <v>4</v>
      </c>
      <c r="B20" s="101" t="s">
        <v>496</v>
      </c>
      <c r="C20" s="99" t="n">
        <f aca="false">IF('KPI Tracking'!$P$3="",SUMIFS(الأنشطة!H7:H86,الأنشطة!C7:C86,Data!$AG$4),SUMPRODUCT((الأنشطة!B7:B86&lt;&gt;"")*(RIGHT(الأنشطة!B7:B86,1)&lt;=RIGHT('KPI Tracking'!$P$3,1))*(الأنشطة!C7:C86=Data!$AG$4)*الأنشطة!H7:H86))</f>
        <v>2</v>
      </c>
      <c r="D20" s="99" t="n">
        <f aca="false">IF('KPI Tracking'!$P$3="",SUMIFS(الأنشطة!I7:I86,الأنشطة!C7:C86,Data!$AG$4),SUMPRODUCT((الأنشطة!B7:B86&lt;&gt;"")*(RIGHT(الأنشطة!B7:B86,1)&lt;=RIGHT('KPI Tracking'!$P$3,1))*(الأنشطة!C7:C86=Data!$AG$4)*الأنشطة!I7:I86))</f>
        <v>2</v>
      </c>
      <c r="E20" s="92" t="n">
        <f aca="false">IFERROR(D20/C20,"-")</f>
        <v>1</v>
      </c>
      <c r="F20" s="93" t="str">
        <f aca="false">IF(ISNUMBER(E20),LOOKUP(E20,Data!$AD$2:$AD$5,Data!$AE$2:$AE$5),"")</f>
        <v>ممتاز Excellent</v>
      </c>
      <c r="G20" s="94"/>
      <c r="H20" s="95"/>
    </row>
    <row r="21" customFormat="false" ht="20.25" hidden="false" customHeight="true" outlineLevel="0" collapsed="false">
      <c r="A21" s="89" t="n">
        <f aca="false">ROW()-ROW($A$16)</f>
        <v>5</v>
      </c>
      <c r="B21" s="90"/>
      <c r="C21" s="100"/>
      <c r="D21" s="100"/>
      <c r="E21" s="92" t="str">
        <f aca="false">IFERROR(D21/C21,"-")</f>
        <v>-</v>
      </c>
      <c r="F21" s="93" t="str">
        <f aca="false">IF(ISNUMBER(E21),LOOKUP(E21,Data!$AD$2:$AD$5,Data!$AE$2:$AE$5),"")</f>
        <v/>
      </c>
      <c r="G21" s="94"/>
      <c r="H21" s="95"/>
    </row>
    <row r="22" customFormat="false" ht="20.25" hidden="false" customHeight="true" outlineLevel="0" collapsed="false">
      <c r="A22" s="89" t="n">
        <f aca="false">ROW()-ROW($A$16)</f>
        <v>6</v>
      </c>
      <c r="B22" s="90"/>
      <c r="C22" s="100"/>
      <c r="D22" s="100"/>
      <c r="E22" s="92" t="str">
        <f aca="false">IFERROR(D22/C22,"-")</f>
        <v>-</v>
      </c>
      <c r="F22" s="93" t="str">
        <f aca="false">IF(ISNUMBER(E22),LOOKUP(E22,Data!$AD$2:$AD$5,Data!$AE$2:$AE$5),"")</f>
        <v/>
      </c>
      <c r="G22" s="94"/>
      <c r="H22" s="95"/>
    </row>
    <row r="23" customFormat="false" ht="20.25" hidden="false" customHeight="true" outlineLevel="0" collapsed="false">
      <c r="A23" s="102"/>
      <c r="B23" s="103"/>
      <c r="C23" s="104"/>
      <c r="D23" s="104"/>
      <c r="E23" s="104"/>
      <c r="F23" s="105"/>
      <c r="G23" s="105"/>
    </row>
    <row r="24" customFormat="false" ht="35.25" hidden="false" customHeight="true" outlineLevel="0" collapsed="false">
      <c r="A24" s="87" t="s">
        <v>497</v>
      </c>
      <c r="B24" s="87"/>
      <c r="C24" s="87"/>
      <c r="D24" s="87"/>
      <c r="E24" s="87"/>
      <c r="F24" s="87"/>
      <c r="G24" s="87"/>
      <c r="H24" s="87"/>
    </row>
    <row r="25" customFormat="false" ht="34.5" hidden="false" customHeight="true" outlineLevel="0" collapsed="false">
      <c r="A25" s="88" t="s">
        <v>359</v>
      </c>
      <c r="B25" s="79" t="s">
        <v>498</v>
      </c>
      <c r="C25" s="79" t="s">
        <v>499</v>
      </c>
      <c r="D25" s="79" t="s">
        <v>500</v>
      </c>
      <c r="E25" s="79" t="s">
        <v>501</v>
      </c>
      <c r="F25" s="79" t="s">
        <v>492</v>
      </c>
      <c r="G25" s="79"/>
      <c r="H25" s="79"/>
    </row>
    <row r="26" customFormat="false" ht="36" hidden="false" customHeight="true" outlineLevel="0" collapsed="false">
      <c r="A26" s="89" t="n">
        <f aca="false">ROW()-ROW($A$25)</f>
        <v>1</v>
      </c>
      <c r="B26" s="106" t="s">
        <v>502</v>
      </c>
      <c r="C26" s="100" t="n">
        <v>4000</v>
      </c>
      <c r="D26" s="100" t="n">
        <v>5000</v>
      </c>
      <c r="E26" s="92" t="n">
        <f aca="false">IFERROR((D26-C26)/C26,"-")</f>
        <v>0.25</v>
      </c>
      <c r="F26" s="94"/>
      <c r="G26" s="94"/>
      <c r="H26" s="95"/>
    </row>
    <row r="27" customFormat="false" ht="36" hidden="false" customHeight="true" outlineLevel="0" collapsed="false">
      <c r="A27" s="89" t="n">
        <f aca="false">ROW()-ROW($A$25)</f>
        <v>2</v>
      </c>
      <c r="B27" s="106" t="s">
        <v>503</v>
      </c>
      <c r="C27" s="100"/>
      <c r="D27" s="100"/>
      <c r="E27" s="92" t="str">
        <f aca="false">IFERROR((D27-C27)/C27,"-")</f>
        <v>-</v>
      </c>
      <c r="F27" s="94"/>
      <c r="G27" s="94"/>
      <c r="H27" s="95"/>
    </row>
    <row r="28" customFormat="false" ht="36" hidden="false" customHeight="true" outlineLevel="0" collapsed="false">
      <c r="A28" s="89" t="n">
        <f aca="false">ROW()-ROW($A$25)</f>
        <v>3</v>
      </c>
      <c r="B28" s="106" t="s">
        <v>504</v>
      </c>
      <c r="C28" s="100"/>
      <c r="D28" s="100"/>
      <c r="E28" s="92" t="str">
        <f aca="false">IFERROR((D28-C28)/C28,"-")</f>
        <v>-</v>
      </c>
      <c r="F28" s="94"/>
      <c r="G28" s="94"/>
      <c r="H28" s="95"/>
    </row>
    <row r="29" customFormat="false" ht="36" hidden="false" customHeight="true" outlineLevel="0" collapsed="false">
      <c r="A29" s="89" t="n">
        <f aca="false">ROW()-ROW($A$25)</f>
        <v>4</v>
      </c>
      <c r="B29" s="106" t="s">
        <v>505</v>
      </c>
      <c r="C29" s="100"/>
      <c r="D29" s="100"/>
      <c r="E29" s="92" t="str">
        <f aca="false">IFERROR((D29-C29)/C29,"-")</f>
        <v>-</v>
      </c>
      <c r="F29" s="94"/>
      <c r="G29" s="94"/>
      <c r="H29" s="95"/>
    </row>
    <row r="30" customFormat="false" ht="36" hidden="false" customHeight="true" outlineLevel="0" collapsed="false">
      <c r="A30" s="89" t="n">
        <f aca="false">ROW()-ROW($A$25)</f>
        <v>5</v>
      </c>
      <c r="B30" s="90" t="s">
        <v>506</v>
      </c>
      <c r="C30" s="100"/>
      <c r="D30" s="100"/>
      <c r="E30" s="92" t="str">
        <f aca="false">IFERROR((D30-C30)/C30,"-")</f>
        <v>-</v>
      </c>
      <c r="F30" s="94"/>
      <c r="G30" s="94"/>
      <c r="H30" s="95"/>
    </row>
    <row r="31" customFormat="false" ht="20.25" hidden="false" customHeight="true" outlineLevel="0" collapsed="false">
      <c r="A31" s="89" t="n">
        <f aca="false">ROW()-ROW($A$25)</f>
        <v>6</v>
      </c>
      <c r="B31" s="90"/>
      <c r="C31" s="100"/>
      <c r="D31" s="100"/>
      <c r="E31" s="92" t="str">
        <f aca="false">IFERROR((D31-C31)/C31,"-")</f>
        <v>-</v>
      </c>
      <c r="F31" s="94"/>
      <c r="G31" s="94"/>
      <c r="H31" s="95"/>
    </row>
    <row r="32" customFormat="false" ht="20.25" hidden="false" customHeight="true" outlineLevel="0" collapsed="false">
      <c r="A32" s="102"/>
      <c r="B32" s="103"/>
      <c r="C32" s="104"/>
      <c r="D32" s="104"/>
      <c r="E32" s="104"/>
      <c r="F32" s="105"/>
      <c r="G32" s="105"/>
    </row>
    <row r="33" customFormat="false" ht="35.25" hidden="false" customHeight="true" outlineLevel="0" collapsed="false">
      <c r="A33" s="87" t="s">
        <v>507</v>
      </c>
      <c r="B33" s="87"/>
      <c r="C33" s="87"/>
      <c r="D33" s="87"/>
      <c r="E33" s="87"/>
      <c r="F33" s="87"/>
      <c r="G33" s="87"/>
      <c r="H33" s="87"/>
    </row>
    <row r="34" customFormat="false" ht="31.5" hidden="false" customHeight="true" outlineLevel="0" collapsed="false">
      <c r="A34" s="88" t="s">
        <v>359</v>
      </c>
      <c r="B34" s="79" t="s">
        <v>508</v>
      </c>
      <c r="C34" s="79" t="s">
        <v>509</v>
      </c>
      <c r="D34" s="79" t="s">
        <v>510</v>
      </c>
      <c r="E34" s="79" t="s">
        <v>511</v>
      </c>
      <c r="F34" s="79" t="s">
        <v>492</v>
      </c>
      <c r="G34" s="79"/>
      <c r="H34" s="79"/>
    </row>
    <row r="35" customFormat="false" ht="25.5" hidden="false" customHeight="true" outlineLevel="0" collapsed="false">
      <c r="A35" s="89" t="n">
        <f aca="false">ROW()-ROW($A$34)</f>
        <v>1</v>
      </c>
      <c r="B35" s="107" t="s">
        <v>512</v>
      </c>
      <c r="C35" s="107" t="s">
        <v>513</v>
      </c>
      <c r="D35" s="108" t="s">
        <v>514</v>
      </c>
      <c r="E35" s="109" t="s">
        <v>444</v>
      </c>
      <c r="F35" s="110"/>
      <c r="G35" s="95"/>
      <c r="H35" s="95"/>
    </row>
    <row r="36" customFormat="false" ht="25.5" hidden="false" customHeight="true" outlineLevel="0" collapsed="false">
      <c r="A36" s="89" t="n">
        <f aca="false">ROW()-ROW($A$34)</f>
        <v>2</v>
      </c>
      <c r="B36" s="107"/>
      <c r="C36" s="107"/>
      <c r="D36" s="108"/>
      <c r="E36" s="109"/>
      <c r="F36" s="110"/>
      <c r="G36" s="95"/>
      <c r="H36" s="95"/>
    </row>
    <row r="37" customFormat="false" ht="25.5" hidden="false" customHeight="true" outlineLevel="0" collapsed="false">
      <c r="A37" s="89" t="n">
        <f aca="false">ROW()-ROW($A$34)</f>
        <v>3</v>
      </c>
      <c r="B37" s="107"/>
      <c r="C37" s="107"/>
      <c r="D37" s="108"/>
      <c r="E37" s="109"/>
      <c r="F37" s="110"/>
      <c r="G37" s="95"/>
      <c r="H37" s="95"/>
    </row>
    <row r="38" customFormat="false" ht="25.5" hidden="false" customHeight="true" outlineLevel="0" collapsed="false">
      <c r="A38" s="89" t="n">
        <f aca="false">ROW()-ROW($A$34)</f>
        <v>4</v>
      </c>
      <c r="B38" s="107"/>
      <c r="C38" s="107"/>
      <c r="D38" s="108"/>
      <c r="E38" s="109"/>
      <c r="F38" s="110"/>
      <c r="G38" s="95"/>
      <c r="H38" s="95"/>
    </row>
    <row r="39" customFormat="false" ht="25.5" hidden="false" customHeight="true" outlineLevel="0" collapsed="false">
      <c r="A39" s="89" t="n">
        <f aca="false">ROW()-ROW($A$34)</f>
        <v>5</v>
      </c>
      <c r="B39" s="107"/>
      <c r="C39" s="107"/>
      <c r="D39" s="108"/>
      <c r="E39" s="109"/>
      <c r="F39" s="110"/>
      <c r="G39" s="95"/>
      <c r="H39" s="95"/>
    </row>
    <row r="40" customFormat="false" ht="25.5" hidden="false" customHeight="true" outlineLevel="0" collapsed="false">
      <c r="A40" s="89" t="n">
        <f aca="false">ROW()-ROW($A$34)</f>
        <v>6</v>
      </c>
      <c r="B40" s="107"/>
      <c r="C40" s="107"/>
      <c r="D40" s="108"/>
      <c r="E40" s="109"/>
      <c r="F40" s="110"/>
      <c r="G40" s="95"/>
      <c r="H40" s="95"/>
    </row>
    <row r="41" customFormat="false" ht="25.5" hidden="false" customHeight="true" outlineLevel="0" collapsed="false">
      <c r="A41" s="89" t="n">
        <f aca="false">ROW()-ROW($A$34)</f>
        <v>7</v>
      </c>
      <c r="B41" s="107"/>
      <c r="C41" s="107"/>
      <c r="D41" s="108"/>
      <c r="E41" s="109"/>
      <c r="F41" s="110"/>
      <c r="G41" s="95"/>
      <c r="H41" s="95"/>
    </row>
    <row r="42" customFormat="false" ht="25.5" hidden="false" customHeight="true" outlineLevel="0" collapsed="false">
      <c r="A42" s="89" t="n">
        <f aca="false">ROW()-ROW($A$34)</f>
        <v>8</v>
      </c>
      <c r="B42" s="107"/>
      <c r="C42" s="107"/>
      <c r="D42" s="108"/>
      <c r="E42" s="109"/>
      <c r="F42" s="110"/>
      <c r="G42" s="95"/>
      <c r="H42" s="95"/>
    </row>
    <row r="43" customFormat="false" ht="25.5" hidden="false" customHeight="true" outlineLevel="0" collapsed="false"/>
    <row r="44" customFormat="false" ht="36" hidden="false" customHeight="true" outlineLevel="0" collapsed="false">
      <c r="A44" s="111" t="s">
        <v>515</v>
      </c>
      <c r="B44" s="111"/>
      <c r="C44" s="111"/>
      <c r="D44" s="111"/>
      <c r="E44" s="111"/>
      <c r="F44" s="111"/>
      <c r="G44" s="111"/>
      <c r="H44" s="111"/>
    </row>
    <row r="45" customFormat="false" ht="38.25" hidden="false" customHeight="true" outlineLevel="0" collapsed="false">
      <c r="A45" s="88" t="s">
        <v>359</v>
      </c>
      <c r="B45" s="79" t="s">
        <v>516</v>
      </c>
      <c r="C45" s="79" t="s">
        <v>517</v>
      </c>
      <c r="D45" s="79" t="s">
        <v>518</v>
      </c>
      <c r="E45" s="79" t="s">
        <v>519</v>
      </c>
      <c r="F45" s="79" t="s">
        <v>520</v>
      </c>
      <c r="G45" s="79" t="s">
        <v>521</v>
      </c>
      <c r="H45" s="79" t="s">
        <v>522</v>
      </c>
    </row>
    <row r="46" customFormat="false" ht="25.5" hidden="false" customHeight="true" outlineLevel="0" collapsed="false">
      <c r="A46" s="89" t="n">
        <f aca="false">ROW()-ROW($A$45)</f>
        <v>1</v>
      </c>
      <c r="B46" s="107" t="s">
        <v>523</v>
      </c>
      <c r="C46" s="107" t="s">
        <v>524</v>
      </c>
      <c r="D46" s="108" t="s">
        <v>525</v>
      </c>
      <c r="E46" s="107" t="s">
        <v>526</v>
      </c>
      <c r="F46" s="107" t="s">
        <v>527</v>
      </c>
      <c r="G46" s="112" t="s">
        <v>528</v>
      </c>
      <c r="H46" s="95"/>
    </row>
    <row r="47" customFormat="false" ht="25.5" hidden="false" customHeight="true" outlineLevel="0" collapsed="false">
      <c r="A47" s="89" t="n">
        <f aca="false">ROW()-ROW($A$45)</f>
        <v>2</v>
      </c>
      <c r="B47" s="107"/>
      <c r="C47" s="107"/>
      <c r="D47" s="108"/>
      <c r="E47" s="107"/>
      <c r="F47" s="107"/>
      <c r="G47" s="95"/>
      <c r="H47" s="95"/>
    </row>
    <row r="48" customFormat="false" ht="25.5" hidden="false" customHeight="true" outlineLevel="0" collapsed="false">
      <c r="A48" s="89" t="n">
        <f aca="false">ROW()-ROW($A$45)</f>
        <v>3</v>
      </c>
      <c r="B48" s="107"/>
      <c r="C48" s="107"/>
      <c r="D48" s="108"/>
      <c r="E48" s="107"/>
      <c r="F48" s="107"/>
      <c r="G48" s="95"/>
      <c r="H48" s="95"/>
    </row>
    <row r="49" customFormat="false" ht="25.5" hidden="false" customHeight="true" outlineLevel="0" collapsed="false">
      <c r="A49" s="89" t="n">
        <f aca="false">ROW()-ROW($A$45)</f>
        <v>4</v>
      </c>
      <c r="B49" s="107"/>
      <c r="C49" s="107"/>
      <c r="D49" s="108"/>
      <c r="E49" s="107"/>
      <c r="F49" s="107"/>
      <c r="G49" s="95"/>
      <c r="H49" s="95"/>
    </row>
    <row r="50" customFormat="false" ht="25.5" hidden="false" customHeight="true" outlineLevel="0" collapsed="false">
      <c r="A50" s="89" t="n">
        <f aca="false">ROW()-ROW($A$45)</f>
        <v>5</v>
      </c>
      <c r="B50" s="107"/>
      <c r="C50" s="107"/>
      <c r="D50" s="108"/>
      <c r="E50" s="107"/>
      <c r="F50" s="107"/>
      <c r="G50" s="95"/>
      <c r="H50" s="95"/>
    </row>
    <row r="51" customFormat="false" ht="25.5" hidden="false" customHeight="true" outlineLevel="0" collapsed="false">
      <c r="A51" s="89" t="n">
        <f aca="false">ROW()-ROW($A$45)</f>
        <v>6</v>
      </c>
      <c r="B51" s="107"/>
      <c r="C51" s="107"/>
      <c r="D51" s="108"/>
      <c r="E51" s="107"/>
      <c r="F51" s="107"/>
      <c r="G51" s="95"/>
      <c r="H51" s="95"/>
    </row>
    <row r="52" customFormat="false" ht="25.5" hidden="false" customHeight="true" outlineLevel="0" collapsed="false"/>
    <row r="53" customFormat="false" ht="35.25" hidden="false" customHeight="true" outlineLevel="0" collapsed="false">
      <c r="A53" s="87" t="s">
        <v>529</v>
      </c>
      <c r="B53" s="87"/>
      <c r="C53" s="87"/>
      <c r="D53" s="87"/>
      <c r="E53" s="87"/>
      <c r="F53" s="87"/>
      <c r="G53" s="87"/>
      <c r="H53" s="87"/>
    </row>
    <row r="54" customFormat="false" ht="59.25" hidden="false" customHeight="true" outlineLevel="0" collapsed="false">
      <c r="A54" s="88" t="s">
        <v>359</v>
      </c>
      <c r="B54" s="79" t="s">
        <v>530</v>
      </c>
      <c r="C54" s="79" t="s">
        <v>531</v>
      </c>
      <c r="D54" s="79" t="s">
        <v>532</v>
      </c>
      <c r="E54" s="79" t="s">
        <v>533</v>
      </c>
      <c r="F54" s="79" t="s">
        <v>534</v>
      </c>
      <c r="G54" s="79" t="s">
        <v>535</v>
      </c>
      <c r="H54" s="79" t="s">
        <v>522</v>
      </c>
    </row>
    <row r="55" customFormat="false" ht="16.5" hidden="false" customHeight="true" outlineLevel="0" collapsed="false">
      <c r="A55" s="89" t="n">
        <f aca="false">ROW()-ROW($A$54)</f>
        <v>1</v>
      </c>
      <c r="B55" s="107" t="s">
        <v>536</v>
      </c>
      <c r="C55" s="107" t="s">
        <v>537</v>
      </c>
      <c r="D55" s="108" t="s">
        <v>514</v>
      </c>
      <c r="E55" s="107" t="s">
        <v>538</v>
      </c>
      <c r="F55" s="100" t="n">
        <v>5000</v>
      </c>
      <c r="G55" s="107" t="s">
        <v>539</v>
      </c>
      <c r="H55" s="107"/>
    </row>
    <row r="56" customFormat="false" ht="16.5" hidden="false" customHeight="true" outlineLevel="0" collapsed="false">
      <c r="A56" s="89" t="n">
        <f aca="false">ROW()-ROW($A$54)</f>
        <v>2</v>
      </c>
      <c r="B56" s="107"/>
      <c r="C56" s="107"/>
      <c r="D56" s="108"/>
      <c r="E56" s="107"/>
      <c r="F56" s="100"/>
      <c r="G56" s="107"/>
      <c r="H56" s="107"/>
    </row>
    <row r="57" customFormat="false" ht="16.5" hidden="false" customHeight="true" outlineLevel="0" collapsed="false">
      <c r="A57" s="89" t="n">
        <f aca="false">ROW()-ROW($A$54)</f>
        <v>3</v>
      </c>
      <c r="B57" s="107"/>
      <c r="C57" s="107"/>
      <c r="D57" s="108"/>
      <c r="E57" s="107"/>
      <c r="F57" s="100"/>
      <c r="G57" s="107"/>
      <c r="H57" s="107"/>
    </row>
    <row r="58" customFormat="false" ht="16.5" hidden="false" customHeight="true" outlineLevel="0" collapsed="false">
      <c r="A58" s="89" t="n">
        <f aca="false">ROW()-ROW($A$54)</f>
        <v>4</v>
      </c>
      <c r="B58" s="107"/>
      <c r="C58" s="107"/>
      <c r="D58" s="108"/>
      <c r="E58" s="107"/>
      <c r="F58" s="100"/>
      <c r="G58" s="107"/>
      <c r="H58" s="107"/>
    </row>
    <row r="59" customFormat="false" ht="16.5" hidden="false" customHeight="true" outlineLevel="0" collapsed="false">
      <c r="A59" s="89" t="n">
        <f aca="false">ROW()-ROW($A$54)</f>
        <v>5</v>
      </c>
      <c r="B59" s="107"/>
      <c r="C59" s="107"/>
      <c r="D59" s="108"/>
      <c r="E59" s="107"/>
      <c r="F59" s="100"/>
      <c r="G59" s="107"/>
      <c r="H59" s="107"/>
    </row>
    <row r="60" customFormat="false" ht="16.5" hidden="false" customHeight="true" outlineLevel="0" collapsed="false">
      <c r="A60" s="89" t="n">
        <f aca="false">ROW()-ROW($A$54)</f>
        <v>6</v>
      </c>
      <c r="B60" s="107"/>
      <c r="C60" s="107"/>
      <c r="D60" s="108"/>
      <c r="E60" s="107"/>
      <c r="F60" s="100"/>
      <c r="G60" s="107"/>
      <c r="H60" s="107"/>
    </row>
    <row r="61" customFormat="false" ht="16.5" hidden="false" customHeight="true" outlineLevel="0" collapsed="false">
      <c r="A61" s="89" t="n">
        <f aca="false">ROW()-ROW($A$54)</f>
        <v>7</v>
      </c>
      <c r="B61" s="107"/>
      <c r="C61" s="107"/>
      <c r="D61" s="108"/>
      <c r="E61" s="107"/>
      <c r="F61" s="100"/>
      <c r="G61" s="107"/>
      <c r="H61" s="107"/>
    </row>
    <row r="62" customFormat="false" ht="16.5" hidden="false" customHeight="true" outlineLevel="0" collapsed="false">
      <c r="A62" s="89" t="n">
        <f aca="false">ROW()-ROW($A$54)</f>
        <v>8</v>
      </c>
      <c r="B62" s="107"/>
      <c r="C62" s="107"/>
      <c r="D62" s="108"/>
      <c r="E62" s="107"/>
      <c r="F62" s="100"/>
      <c r="G62" s="107"/>
      <c r="H62" s="107"/>
    </row>
  </sheetData>
  <mergeCells count="10">
    <mergeCell ref="A1:H1"/>
    <mergeCell ref="A2:H2"/>
    <mergeCell ref="A5:H5"/>
    <mergeCell ref="A7:H7"/>
    <mergeCell ref="A13:B13"/>
    <mergeCell ref="A15:H15"/>
    <mergeCell ref="A24:H24"/>
    <mergeCell ref="A33:H33"/>
    <mergeCell ref="A44:H44"/>
    <mergeCell ref="A53:H53"/>
  </mergeCells>
  <dataValidations count="2">
    <dataValidation allowBlank="true" error="اختر قيمة من القائمة / Choose a value from the list" errorStyle="stop" errorTitle="قيمة غير صحيحة / Invalid value" operator="between" showDropDown="false" showErrorMessage="true" showInputMessage="false" sqref="D35:D42 D46:D51 D55:D62" type="list">
      <formula1>lst_Impact</formula1>
      <formula2>0</formula2>
    </dataValidation>
    <dataValidation allowBlank="true" error="اختر قيمة من القائمة / Choose a value from the list" errorStyle="stop" errorTitle="قيمة غير صحيحة / Invalid value" operator="between" showDropDown="false" showErrorMessage="true" showInputMessage="false" sqref="E55:E62" type="list">
      <formula1>lst_Priority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42"/>
    <col collapsed="false" customWidth="true" hidden="false" outlineLevel="0" max="2" min="2" style="0" width="10"/>
    <col collapsed="false" customWidth="true" hidden="false" outlineLevel="0" max="4" min="4" style="0" width="12"/>
    <col collapsed="false" customWidth="true" hidden="false" outlineLevel="0" max="6" min="6" style="0" width="32"/>
    <col collapsed="false" customWidth="true" hidden="false" outlineLevel="0" max="8" min="8" style="0" width="28"/>
    <col collapsed="false" customWidth="true" hidden="false" outlineLevel="0" max="10" min="10" style="0" width="20"/>
    <col collapsed="false" customWidth="true" hidden="false" outlineLevel="0" max="12" min="12" style="0" width="26"/>
    <col collapsed="false" customWidth="true" hidden="false" outlineLevel="0" max="14" min="14" style="0" width="22"/>
    <col collapsed="false" customWidth="true" hidden="false" outlineLevel="0" max="16" min="16" style="0" width="36"/>
    <col collapsed="false" customWidth="true" hidden="false" outlineLevel="0" max="18" min="18" style="0" width="34"/>
    <col collapsed="false" customWidth="true" hidden="false" outlineLevel="0" max="20" min="20" style="0" width="34"/>
    <col collapsed="false" customWidth="true" hidden="false" outlineLevel="0" max="22" min="22" style="0" width="34"/>
    <col collapsed="false" customWidth="true" hidden="false" outlineLevel="0" max="24" min="24" style="0" width="34"/>
    <col collapsed="false" customWidth="true" hidden="false" outlineLevel="0" max="26" min="26" style="0" width="26"/>
    <col collapsed="false" customWidth="true" hidden="false" outlineLevel="0" max="28" min="28" style="0" width="26"/>
    <col collapsed="false" customWidth="true" hidden="false" outlineLevel="0" max="31" min="30" style="0" width="26"/>
    <col collapsed="false" customWidth="true" hidden="false" outlineLevel="0" max="33" min="33" style="0" width="42"/>
  </cols>
  <sheetData>
    <row r="1" customFormat="false" ht="36" hidden="false" customHeight="true" outlineLevel="0" collapsed="false">
      <c r="A1" s="34" t="s">
        <v>540</v>
      </c>
      <c r="B1" s="34" t="s">
        <v>541</v>
      </c>
      <c r="D1" s="34" t="s">
        <v>542</v>
      </c>
      <c r="F1" s="34" t="s">
        <v>543</v>
      </c>
      <c r="H1" s="34" t="s">
        <v>544</v>
      </c>
      <c r="J1" s="34" t="s">
        <v>545</v>
      </c>
      <c r="L1" s="34" t="s">
        <v>546</v>
      </c>
      <c r="N1" s="34" t="s">
        <v>547</v>
      </c>
      <c r="P1" s="34" t="s">
        <v>548</v>
      </c>
      <c r="R1" s="34" t="s">
        <v>549</v>
      </c>
      <c r="T1" s="34" t="s">
        <v>550</v>
      </c>
      <c r="V1" s="34" t="s">
        <v>551</v>
      </c>
      <c r="X1" s="34" t="s">
        <v>552</v>
      </c>
      <c r="Z1" s="34" t="s">
        <v>553</v>
      </c>
      <c r="AB1" s="34" t="s">
        <v>554</v>
      </c>
      <c r="AD1" s="34" t="s">
        <v>555</v>
      </c>
      <c r="AE1" s="34" t="s">
        <v>556</v>
      </c>
      <c r="AG1" s="34" t="s">
        <v>557</v>
      </c>
    </row>
    <row r="2" customFormat="false" ht="16.5" hidden="false" customHeight="true" outlineLevel="0" collapsed="false">
      <c r="A2" s="113" t="s">
        <v>350</v>
      </c>
      <c r="B2" s="114" t="s">
        <v>558</v>
      </c>
      <c r="D2" s="105" t="s">
        <v>439</v>
      </c>
      <c r="F2" s="113" t="s">
        <v>559</v>
      </c>
      <c r="H2" s="113" t="s">
        <v>385</v>
      </c>
      <c r="J2" s="113" t="s">
        <v>396</v>
      </c>
      <c r="L2" s="113" t="s">
        <v>392</v>
      </c>
      <c r="N2" s="113" t="s">
        <v>388</v>
      </c>
      <c r="P2" s="113" t="s">
        <v>393</v>
      </c>
      <c r="R2" s="113" t="s">
        <v>392</v>
      </c>
      <c r="T2" s="113" t="s">
        <v>387</v>
      </c>
      <c r="V2" s="113" t="s">
        <v>411</v>
      </c>
      <c r="X2" s="113" t="s">
        <v>389</v>
      </c>
      <c r="Z2" s="113" t="s">
        <v>538</v>
      </c>
      <c r="AB2" s="113" t="s">
        <v>514</v>
      </c>
      <c r="AD2" s="115" t="n">
        <v>0</v>
      </c>
      <c r="AE2" s="113" t="s">
        <v>560</v>
      </c>
      <c r="AG2" s="113" t="s">
        <v>440</v>
      </c>
    </row>
    <row r="3" customFormat="false" ht="33" hidden="false" customHeight="true" outlineLevel="0" collapsed="false">
      <c r="A3" s="113" t="s">
        <v>561</v>
      </c>
      <c r="B3" s="114" t="s">
        <v>562</v>
      </c>
      <c r="D3" s="105" t="s">
        <v>353</v>
      </c>
      <c r="F3" s="113" t="s">
        <v>563</v>
      </c>
      <c r="H3" s="113" t="s">
        <v>391</v>
      </c>
      <c r="J3" s="113" t="s">
        <v>386</v>
      </c>
      <c r="L3" s="113" t="s">
        <v>387</v>
      </c>
      <c r="N3" s="113" t="s">
        <v>403</v>
      </c>
      <c r="P3" s="113" t="s">
        <v>397</v>
      </c>
      <c r="R3" s="113" t="s">
        <v>420</v>
      </c>
      <c r="X3" s="113" t="s">
        <v>412</v>
      </c>
      <c r="Z3" s="113" t="s">
        <v>564</v>
      </c>
      <c r="AB3" s="113" t="s">
        <v>525</v>
      </c>
      <c r="AD3" s="115" t="n">
        <v>0.6</v>
      </c>
      <c r="AE3" s="113" t="s">
        <v>565</v>
      </c>
      <c r="AG3" s="113" t="s">
        <v>445</v>
      </c>
    </row>
    <row r="4" customFormat="false" ht="33" hidden="false" customHeight="true" outlineLevel="0" collapsed="false">
      <c r="A4" s="113" t="s">
        <v>566</v>
      </c>
      <c r="B4" s="114" t="s">
        <v>567</v>
      </c>
      <c r="D4" s="105" t="s">
        <v>455</v>
      </c>
      <c r="F4" s="113" t="s">
        <v>568</v>
      </c>
      <c r="H4" s="113" t="s">
        <v>410</v>
      </c>
      <c r="L4" s="113" t="s">
        <v>420</v>
      </c>
      <c r="P4" s="113" t="s">
        <v>389</v>
      </c>
      <c r="R4" s="113" t="s">
        <v>402</v>
      </c>
      <c r="X4" s="113" t="s">
        <v>416</v>
      </c>
      <c r="Z4" s="113" t="s">
        <v>569</v>
      </c>
      <c r="AB4" s="113" t="s">
        <v>570</v>
      </c>
      <c r="AD4" s="115" t="n">
        <v>0.75</v>
      </c>
      <c r="AE4" s="113" t="s">
        <v>571</v>
      </c>
      <c r="AG4" s="113" t="s">
        <v>450</v>
      </c>
    </row>
    <row r="5" customFormat="false" ht="33" hidden="false" customHeight="true" outlineLevel="0" collapsed="false">
      <c r="A5" s="113" t="s">
        <v>572</v>
      </c>
      <c r="B5" s="114" t="s">
        <v>573</v>
      </c>
      <c r="D5" s="105" t="s">
        <v>574</v>
      </c>
      <c r="F5" s="113" t="s">
        <v>575</v>
      </c>
      <c r="L5" s="113" t="s">
        <v>402</v>
      </c>
      <c r="P5" s="113" t="s">
        <v>415</v>
      </c>
      <c r="AD5" s="115" t="n">
        <v>0.9</v>
      </c>
      <c r="AE5" s="113" t="s">
        <v>576</v>
      </c>
    </row>
    <row r="6" customFormat="false" ht="33" hidden="false" customHeight="true" outlineLevel="0" collapsed="false">
      <c r="A6" s="113" t="s">
        <v>577</v>
      </c>
      <c r="B6" s="114" t="s">
        <v>578</v>
      </c>
      <c r="L6" s="113" t="s">
        <v>411</v>
      </c>
      <c r="P6" s="113" t="s">
        <v>405</v>
      </c>
    </row>
    <row r="7" customFormat="false" ht="16.5" hidden="false" customHeight="true" outlineLevel="0" collapsed="false">
      <c r="A7" s="113" t="s">
        <v>579</v>
      </c>
      <c r="B7" s="114" t="s">
        <v>580</v>
      </c>
      <c r="L7" s="113"/>
      <c r="P7" s="113" t="s">
        <v>412</v>
      </c>
      <c r="AD7" s="116" t="s">
        <v>581</v>
      </c>
    </row>
    <row r="8" customFormat="false" ht="16.5" hidden="false" customHeight="true" outlineLevel="0" collapsed="false">
      <c r="P8" s="113" t="s">
        <v>416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2026-10-12T09:04:12Z</dcterms:created>
  <dc:creator>openpyxl</dc:creator>
  <dc:description/>
  <dc:language>en-US</dc:language>
  <cp:lastModifiedBy>Mukhtar Alhadi</cp:lastModifiedBy>
  <dcterms:modified xsi:type="dcterms:W3CDTF">2026-10-20T06:13:28Z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