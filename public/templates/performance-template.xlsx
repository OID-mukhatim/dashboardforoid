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Hp\Desktop\"/>
    </mc:Choice>
  </mc:AlternateContent>
  <xr:revisionPtr revIDLastSave="0" documentId="13_ncr:1_{F149DE69-A2A1-44C6-B206-F9A7B07A96F9}" xr6:coauthVersionLast="47" xr6:coauthVersionMax="47" xr10:uidLastSave="{00000000-0000-0000-0000-000000000000}"/>
  <bookViews>
    <workbookView xWindow="0" yWindow="1305" windowWidth="20265" windowHeight="11775" tabRatio="500" activeTab="3" xr2:uid="{00000000-000D-0000-FFFF-FFFF00000000}"/>
  </bookViews>
  <sheets>
    <sheet name="الدليل" sheetId="1" r:id="rId1"/>
    <sheet name="Guide" sheetId="2" r:id="rId2"/>
    <sheet name="KPI Tracking" sheetId="3" r:id="rId3"/>
    <sheet name="الأنشطة" sheetId="4" r:id="rId4"/>
    <sheet name="الملخص" sheetId="5" r:id="rId5"/>
    <sheet name="Data" sheetId="6" r:id="rId6"/>
  </sheets>
  <definedNames>
    <definedName name="_xlnm._FilterDatabase" localSheetId="3" hidden="1">الأنشطة!$A$6:$K$86</definedName>
    <definedName name="lst_ActType">Data!$AG$2:$AG$4</definedName>
    <definedName name="lst_Freq_Qual">Data!$X$2:$X$4</definedName>
    <definedName name="lst_Frequency">Data!$P$2:$P$8</definedName>
    <definedName name="lst_Impact">Data!$AB$2:$AB$4</definedName>
    <definedName name="lst_Institution">Data!$A$2:$A$7</definedName>
    <definedName name="lst_Measure">Data!$H$2:$H$4</definedName>
    <definedName name="lst_Period">Data!$D$2:$D$5</definedName>
    <definedName name="lst_Polarity">Data!$N$2:$N$3</definedName>
    <definedName name="lst_Priority">Data!$Z$2:$Z$4</definedName>
    <definedName name="lst_Role">Data!$J$2:$J$3</definedName>
    <definedName name="lst_Unit">Data!$L$2:$L$6</definedName>
    <definedName name="lst_Unit_Num">Data!$R$2:$R$4</definedName>
    <definedName name="lst_Unit_Pct">Data!$T$2:$T$2</definedName>
    <definedName name="lst_Unit_Qual">Data!$V$2:$V$2</definedName>
    <definedName name="_xlnm.Print_Area" localSheetId="1">Guide!$A$1:$G$111</definedName>
    <definedName name="_xlnm.Print_Area" localSheetId="3">الأنشطة!$A$1:$K$97</definedName>
    <definedName name="_xlnm.Print_Area" localSheetId="0">الدليل!$A$1:$G$111</definedName>
    <definedName name="_xlnm.Print_Titles" localSheetId="3">الأنشطة!$1:$3</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62" i="5" l="1"/>
  <c r="A61" i="5"/>
  <c r="A60" i="5"/>
  <c r="A59" i="5"/>
  <c r="A58" i="5"/>
  <c r="A57" i="5"/>
  <c r="A56" i="5"/>
  <c r="A55" i="5"/>
  <c r="A51" i="5"/>
  <c r="A50" i="5"/>
  <c r="A49" i="5"/>
  <c r="A48" i="5"/>
  <c r="A47" i="5"/>
  <c r="A46" i="5"/>
  <c r="A42" i="5"/>
  <c r="A41" i="5"/>
  <c r="A40" i="5"/>
  <c r="A39" i="5"/>
  <c r="A38" i="5"/>
  <c r="A37" i="5"/>
  <c r="A36" i="5"/>
  <c r="A35" i="5"/>
  <c r="E31" i="5"/>
  <c r="A31" i="5"/>
  <c r="E30" i="5"/>
  <c r="A30" i="5"/>
  <c r="E29" i="5"/>
  <c r="A29" i="5"/>
  <c r="E28" i="5"/>
  <c r="A28" i="5"/>
  <c r="E27" i="5"/>
  <c r="A27" i="5"/>
  <c r="E26" i="5"/>
  <c r="A26" i="5"/>
  <c r="F22" i="5"/>
  <c r="E22" i="5"/>
  <c r="A22" i="5"/>
  <c r="E21" i="5"/>
  <c r="F21" i="5" s="1"/>
  <c r="A21" i="5"/>
  <c r="D20" i="5"/>
  <c r="E20" i="5" s="1"/>
  <c r="F20" i="5" s="1"/>
  <c r="C20" i="5"/>
  <c r="A20" i="5"/>
  <c r="D19" i="5"/>
  <c r="C19" i="5"/>
  <c r="A19" i="5"/>
  <c r="D18" i="5"/>
  <c r="E18" i="5" s="1"/>
  <c r="F18" i="5" s="1"/>
  <c r="A18" i="5"/>
  <c r="D17" i="5"/>
  <c r="C17" i="5"/>
  <c r="A17" i="5"/>
  <c r="C4" i="5"/>
  <c r="B4" i="5"/>
  <c r="J97" i="4"/>
  <c r="I97" i="4"/>
  <c r="H97" i="4"/>
  <c r="G97" i="4"/>
  <c r="I96" i="4"/>
  <c r="H96" i="4"/>
  <c r="J96" i="4" s="1"/>
  <c r="G96" i="4"/>
  <c r="J95" i="4"/>
  <c r="I95" i="4"/>
  <c r="H95" i="4"/>
  <c r="G95" i="4"/>
  <c r="I94" i="4"/>
  <c r="H94" i="4"/>
  <c r="J94" i="4" s="1"/>
  <c r="G94" i="4"/>
  <c r="J86" i="4"/>
  <c r="A86" i="4"/>
  <c r="J85" i="4"/>
  <c r="A85" i="4"/>
  <c r="J84" i="4"/>
  <c r="A84" i="4"/>
  <c r="J83" i="4"/>
  <c r="A83" i="4"/>
  <c r="J82" i="4"/>
  <c r="A82" i="4"/>
  <c r="J81" i="4"/>
  <c r="A81" i="4"/>
  <c r="J80" i="4"/>
  <c r="A80" i="4"/>
  <c r="J79" i="4"/>
  <c r="A79" i="4"/>
  <c r="J78" i="4"/>
  <c r="A78" i="4"/>
  <c r="J77" i="4"/>
  <c r="A77" i="4"/>
  <c r="J76" i="4"/>
  <c r="A76" i="4"/>
  <c r="J75" i="4"/>
  <c r="A75" i="4"/>
  <c r="J74" i="4"/>
  <c r="A74" i="4"/>
  <c r="J73" i="4"/>
  <c r="A73" i="4"/>
  <c r="J72" i="4"/>
  <c r="A72" i="4"/>
  <c r="J71" i="4"/>
  <c r="A71" i="4"/>
  <c r="J70" i="4"/>
  <c r="A70" i="4"/>
  <c r="J69" i="4"/>
  <c r="A69" i="4"/>
  <c r="J68" i="4"/>
  <c r="A68" i="4"/>
  <c r="J67" i="4"/>
  <c r="A67" i="4"/>
  <c r="J66" i="4"/>
  <c r="A66" i="4"/>
  <c r="J65" i="4"/>
  <c r="A65" i="4"/>
  <c r="J64" i="4"/>
  <c r="A64" i="4"/>
  <c r="J63" i="4"/>
  <c r="A63" i="4"/>
  <c r="J62" i="4"/>
  <c r="A62" i="4"/>
  <c r="J61" i="4"/>
  <c r="A61" i="4"/>
  <c r="J60" i="4"/>
  <c r="A60" i="4"/>
  <c r="J59" i="4"/>
  <c r="A59" i="4"/>
  <c r="J58" i="4"/>
  <c r="A58" i="4"/>
  <c r="J57" i="4"/>
  <c r="A57" i="4"/>
  <c r="J56" i="4"/>
  <c r="A56" i="4"/>
  <c r="J55" i="4"/>
  <c r="A55" i="4"/>
  <c r="J54" i="4"/>
  <c r="A54" i="4"/>
  <c r="J53" i="4"/>
  <c r="A53" i="4"/>
  <c r="J52" i="4"/>
  <c r="A52" i="4"/>
  <c r="J51" i="4"/>
  <c r="A51" i="4"/>
  <c r="J50" i="4"/>
  <c r="A50" i="4"/>
  <c r="J49" i="4"/>
  <c r="A49" i="4"/>
  <c r="J48" i="4"/>
  <c r="A48" i="4"/>
  <c r="J47" i="4"/>
  <c r="A47" i="4"/>
  <c r="J46" i="4"/>
  <c r="A46" i="4"/>
  <c r="J45" i="4"/>
  <c r="A45" i="4"/>
  <c r="J44" i="4"/>
  <c r="A44" i="4"/>
  <c r="J43" i="4"/>
  <c r="A43" i="4"/>
  <c r="J42" i="4"/>
  <c r="A42" i="4"/>
  <c r="J41" i="4"/>
  <c r="A41" i="4"/>
  <c r="J40" i="4"/>
  <c r="A40" i="4"/>
  <c r="J39" i="4"/>
  <c r="A39" i="4"/>
  <c r="J38" i="4"/>
  <c r="A38" i="4"/>
  <c r="J37" i="4"/>
  <c r="A37" i="4"/>
  <c r="J36" i="4"/>
  <c r="A36" i="4"/>
  <c r="J35" i="4"/>
  <c r="A35" i="4"/>
  <c r="J34" i="4"/>
  <c r="A34" i="4"/>
  <c r="J33" i="4"/>
  <c r="A33" i="4"/>
  <c r="J32" i="4"/>
  <c r="A32" i="4"/>
  <c r="J31" i="4"/>
  <c r="A31" i="4"/>
  <c r="J30" i="4"/>
  <c r="A30" i="4"/>
  <c r="J29" i="4"/>
  <c r="A29" i="4"/>
  <c r="J28" i="4"/>
  <c r="A28" i="4"/>
  <c r="J27" i="4"/>
  <c r="A27" i="4"/>
  <c r="J26" i="4"/>
  <c r="A26" i="4"/>
  <c r="J25" i="4"/>
  <c r="A25" i="4"/>
  <c r="J24" i="4"/>
  <c r="A24" i="4"/>
  <c r="J23" i="4"/>
  <c r="A23" i="4"/>
  <c r="J22" i="4"/>
  <c r="A22" i="4"/>
  <c r="J21" i="4"/>
  <c r="A21" i="4"/>
  <c r="J20" i="4"/>
  <c r="A20" i="4"/>
  <c r="J19" i="4"/>
  <c r="A19" i="4"/>
  <c r="J18" i="4"/>
  <c r="A18" i="4"/>
  <c r="J17" i="4"/>
  <c r="A17" i="4"/>
  <c r="J16" i="4"/>
  <c r="A16" i="4"/>
  <c r="J15" i="4"/>
  <c r="A15" i="4"/>
  <c r="J14" i="4"/>
  <c r="A14" i="4"/>
  <c r="J13" i="4"/>
  <c r="A13" i="4"/>
  <c r="J12" i="4"/>
  <c r="A12" i="4"/>
  <c r="J11" i="4"/>
  <c r="A11" i="4"/>
  <c r="J10" i="4"/>
  <c r="A10" i="4"/>
  <c r="J9" i="4"/>
  <c r="A9" i="4"/>
  <c r="J8" i="4"/>
  <c r="A8" i="4"/>
  <c r="J7" i="4"/>
  <c r="A7" i="4"/>
  <c r="G3" i="4"/>
  <c r="G92" i="4" s="1"/>
  <c r="D3" i="4"/>
  <c r="J138" i="3"/>
  <c r="C12" i="5" s="1"/>
  <c r="V137" i="3"/>
  <c r="W137" i="3" s="1"/>
  <c r="X137" i="3" s="1"/>
  <c r="M137" i="3"/>
  <c r="D137" i="3"/>
  <c r="A137" i="3"/>
  <c r="W136" i="3"/>
  <c r="X136" i="3" s="1"/>
  <c r="V136" i="3"/>
  <c r="M136" i="3"/>
  <c r="D136" i="3"/>
  <c r="A136" i="3"/>
  <c r="X135" i="3"/>
  <c r="W135" i="3"/>
  <c r="V135" i="3"/>
  <c r="M135" i="3"/>
  <c r="D135" i="3"/>
  <c r="A135" i="3"/>
  <c r="V134" i="3"/>
  <c r="W134" i="3" s="1"/>
  <c r="X134" i="3" s="1"/>
  <c r="M134" i="3"/>
  <c r="D134" i="3"/>
  <c r="A134" i="3"/>
  <c r="V133" i="3"/>
  <c r="W133" i="3" s="1"/>
  <c r="X133" i="3" s="1"/>
  <c r="M133" i="3"/>
  <c r="D133" i="3"/>
  <c r="A133" i="3"/>
  <c r="V132" i="3"/>
  <c r="W132" i="3" s="1"/>
  <c r="X132" i="3" s="1"/>
  <c r="M132" i="3"/>
  <c r="D132" i="3"/>
  <c r="A132" i="3"/>
  <c r="X131" i="3"/>
  <c r="W131" i="3"/>
  <c r="V131" i="3"/>
  <c r="M131" i="3"/>
  <c r="D131" i="3"/>
  <c r="A131" i="3"/>
  <c r="V130" i="3"/>
  <c r="W130" i="3" s="1"/>
  <c r="X130" i="3" s="1"/>
  <c r="M130" i="3"/>
  <c r="D130" i="3"/>
  <c r="A130" i="3"/>
  <c r="V129" i="3"/>
  <c r="W129" i="3" s="1"/>
  <c r="X129" i="3" s="1"/>
  <c r="M129" i="3"/>
  <c r="D129" i="3"/>
  <c r="A129" i="3"/>
  <c r="V128" i="3"/>
  <c r="W128" i="3" s="1"/>
  <c r="X128" i="3" s="1"/>
  <c r="M128" i="3"/>
  <c r="D128" i="3"/>
  <c r="A128" i="3"/>
  <c r="X127" i="3"/>
  <c r="W127" i="3"/>
  <c r="V127" i="3"/>
  <c r="M127" i="3"/>
  <c r="D127" i="3"/>
  <c r="A127" i="3"/>
  <c r="V126" i="3"/>
  <c r="W126" i="3" s="1"/>
  <c r="X126" i="3" s="1"/>
  <c r="M126" i="3"/>
  <c r="D126" i="3"/>
  <c r="A126" i="3"/>
  <c r="V125" i="3"/>
  <c r="W125" i="3" s="1"/>
  <c r="X125" i="3" s="1"/>
  <c r="M125" i="3"/>
  <c r="D125" i="3"/>
  <c r="A125" i="3"/>
  <c r="V124" i="3"/>
  <c r="W124" i="3" s="1"/>
  <c r="X124" i="3" s="1"/>
  <c r="M124" i="3"/>
  <c r="D124" i="3"/>
  <c r="A124" i="3"/>
  <c r="X123" i="3"/>
  <c r="W123" i="3"/>
  <c r="V123" i="3"/>
  <c r="M123" i="3"/>
  <c r="D123" i="3"/>
  <c r="A123" i="3"/>
  <c r="V122" i="3"/>
  <c r="W122" i="3" s="1"/>
  <c r="X122" i="3" s="1"/>
  <c r="M122" i="3"/>
  <c r="D122" i="3"/>
  <c r="A122" i="3"/>
  <c r="V121" i="3"/>
  <c r="W121" i="3" s="1"/>
  <c r="X121" i="3" s="1"/>
  <c r="M121" i="3"/>
  <c r="D121" i="3"/>
  <c r="A121" i="3"/>
  <c r="V120" i="3"/>
  <c r="W120" i="3" s="1"/>
  <c r="X120" i="3" s="1"/>
  <c r="M120" i="3"/>
  <c r="D120" i="3"/>
  <c r="A120" i="3"/>
  <c r="X119" i="3"/>
  <c r="W119" i="3"/>
  <c r="V119" i="3"/>
  <c r="M119" i="3"/>
  <c r="D119" i="3"/>
  <c r="A119" i="3"/>
  <c r="V118" i="3"/>
  <c r="W118" i="3" s="1"/>
  <c r="X118" i="3" s="1"/>
  <c r="M118" i="3"/>
  <c r="D118" i="3"/>
  <c r="A118" i="3"/>
  <c r="V117" i="3"/>
  <c r="W117" i="3" s="1"/>
  <c r="X117" i="3" s="1"/>
  <c r="M117" i="3"/>
  <c r="D117" i="3"/>
  <c r="A117" i="3"/>
  <c r="V116" i="3"/>
  <c r="W116" i="3" s="1"/>
  <c r="X116" i="3" s="1"/>
  <c r="M116" i="3"/>
  <c r="D116" i="3"/>
  <c r="A116" i="3"/>
  <c r="X115" i="3"/>
  <c r="W115" i="3"/>
  <c r="V115" i="3"/>
  <c r="M115" i="3"/>
  <c r="D115" i="3"/>
  <c r="A115" i="3"/>
  <c r="V114" i="3"/>
  <c r="W114" i="3" s="1"/>
  <c r="X114" i="3" s="1"/>
  <c r="M114" i="3"/>
  <c r="D114" i="3"/>
  <c r="A114" i="3"/>
  <c r="V113" i="3"/>
  <c r="W113" i="3" s="1"/>
  <c r="X113" i="3" s="1"/>
  <c r="M113" i="3"/>
  <c r="D113" i="3"/>
  <c r="A113" i="3"/>
  <c r="V112" i="3"/>
  <c r="W112" i="3" s="1"/>
  <c r="X112" i="3" s="1"/>
  <c r="M112" i="3"/>
  <c r="D112" i="3"/>
  <c r="A112" i="3"/>
  <c r="X111" i="3"/>
  <c r="W111" i="3"/>
  <c r="V111" i="3"/>
  <c r="M111" i="3"/>
  <c r="D111" i="3"/>
  <c r="A111" i="3"/>
  <c r="V110" i="3"/>
  <c r="W110" i="3" s="1"/>
  <c r="X110" i="3" s="1"/>
  <c r="M110" i="3"/>
  <c r="D110" i="3"/>
  <c r="A110" i="3"/>
  <c r="V109" i="3"/>
  <c r="W109" i="3" s="1"/>
  <c r="X109" i="3" s="1"/>
  <c r="M109" i="3"/>
  <c r="D109" i="3"/>
  <c r="A109" i="3"/>
  <c r="V108" i="3"/>
  <c r="W108" i="3" s="1"/>
  <c r="X108" i="3" s="1"/>
  <c r="M108" i="3"/>
  <c r="D108" i="3"/>
  <c r="A108" i="3"/>
  <c r="J104" i="3"/>
  <c r="C11" i="5" s="1"/>
  <c r="V103" i="3"/>
  <c r="W103" i="3" s="1"/>
  <c r="X103" i="3" s="1"/>
  <c r="M103" i="3"/>
  <c r="D103" i="3"/>
  <c r="A103" i="3"/>
  <c r="X102" i="3"/>
  <c r="W102" i="3"/>
  <c r="V102" i="3"/>
  <c r="M102" i="3"/>
  <c r="D102" i="3"/>
  <c r="A102" i="3"/>
  <c r="V101" i="3"/>
  <c r="W101" i="3" s="1"/>
  <c r="X101" i="3" s="1"/>
  <c r="M101" i="3"/>
  <c r="D101" i="3"/>
  <c r="A101" i="3"/>
  <c r="V100" i="3"/>
  <c r="W100" i="3" s="1"/>
  <c r="X100" i="3" s="1"/>
  <c r="M100" i="3"/>
  <c r="D100" i="3"/>
  <c r="A100" i="3"/>
  <c r="V99" i="3"/>
  <c r="W99" i="3" s="1"/>
  <c r="X99" i="3" s="1"/>
  <c r="M99" i="3"/>
  <c r="D99" i="3"/>
  <c r="A99" i="3"/>
  <c r="X98" i="3"/>
  <c r="W98" i="3"/>
  <c r="V98" i="3"/>
  <c r="M98" i="3"/>
  <c r="D98" i="3"/>
  <c r="A98" i="3"/>
  <c r="V97" i="3"/>
  <c r="W97" i="3" s="1"/>
  <c r="X97" i="3" s="1"/>
  <c r="M97" i="3"/>
  <c r="D97" i="3"/>
  <c r="A97" i="3"/>
  <c r="V96" i="3"/>
  <c r="W96" i="3" s="1"/>
  <c r="X96" i="3" s="1"/>
  <c r="M96" i="3"/>
  <c r="D96" i="3"/>
  <c r="A96" i="3"/>
  <c r="V95" i="3"/>
  <c r="W95" i="3" s="1"/>
  <c r="X95" i="3" s="1"/>
  <c r="M95" i="3"/>
  <c r="D95" i="3"/>
  <c r="A95" i="3"/>
  <c r="X94" i="3"/>
  <c r="W94" i="3"/>
  <c r="V94" i="3"/>
  <c r="M94" i="3"/>
  <c r="D94" i="3"/>
  <c r="A94" i="3"/>
  <c r="V93" i="3"/>
  <c r="W93" i="3" s="1"/>
  <c r="X93" i="3" s="1"/>
  <c r="M93" i="3"/>
  <c r="D93" i="3"/>
  <c r="A93" i="3"/>
  <c r="V92" i="3"/>
  <c r="W92" i="3" s="1"/>
  <c r="X92" i="3" s="1"/>
  <c r="M92" i="3"/>
  <c r="D92" i="3"/>
  <c r="A92" i="3"/>
  <c r="V91" i="3"/>
  <c r="W91" i="3" s="1"/>
  <c r="X91" i="3" s="1"/>
  <c r="M91" i="3"/>
  <c r="D91" i="3"/>
  <c r="A91" i="3"/>
  <c r="X90" i="3"/>
  <c r="W90" i="3"/>
  <c r="V90" i="3"/>
  <c r="M90" i="3"/>
  <c r="D90" i="3"/>
  <c r="A90" i="3"/>
  <c r="V89" i="3"/>
  <c r="W89" i="3" s="1"/>
  <c r="X89" i="3" s="1"/>
  <c r="M89" i="3"/>
  <c r="D89" i="3"/>
  <c r="A89" i="3"/>
  <c r="V88" i="3"/>
  <c r="W88" i="3" s="1"/>
  <c r="X88" i="3" s="1"/>
  <c r="M88" i="3"/>
  <c r="D88" i="3"/>
  <c r="A88" i="3"/>
  <c r="V87" i="3"/>
  <c r="W87" i="3" s="1"/>
  <c r="X87" i="3" s="1"/>
  <c r="M87" i="3"/>
  <c r="D87" i="3"/>
  <c r="A87" i="3"/>
  <c r="X86" i="3"/>
  <c r="W86" i="3"/>
  <c r="V86" i="3"/>
  <c r="M86" i="3"/>
  <c r="D86" i="3"/>
  <c r="A86" i="3"/>
  <c r="V85" i="3"/>
  <c r="W85" i="3" s="1"/>
  <c r="X85" i="3" s="1"/>
  <c r="M85" i="3"/>
  <c r="D85" i="3"/>
  <c r="A85" i="3"/>
  <c r="V84" i="3"/>
  <c r="W84" i="3" s="1"/>
  <c r="X84" i="3" s="1"/>
  <c r="M84" i="3"/>
  <c r="D84" i="3"/>
  <c r="A84" i="3"/>
  <c r="V83" i="3"/>
  <c r="W83" i="3" s="1"/>
  <c r="X83" i="3" s="1"/>
  <c r="M83" i="3"/>
  <c r="D83" i="3"/>
  <c r="A83" i="3"/>
  <c r="X82" i="3"/>
  <c r="W82" i="3"/>
  <c r="V82" i="3"/>
  <c r="M82" i="3"/>
  <c r="D82" i="3"/>
  <c r="A82" i="3"/>
  <c r="V81" i="3"/>
  <c r="W81" i="3" s="1"/>
  <c r="X81" i="3" s="1"/>
  <c r="M81" i="3"/>
  <c r="D81" i="3"/>
  <c r="A81" i="3"/>
  <c r="V80" i="3"/>
  <c r="W80" i="3" s="1"/>
  <c r="X80" i="3" s="1"/>
  <c r="M80" i="3"/>
  <c r="D80" i="3"/>
  <c r="A80" i="3"/>
  <c r="V79" i="3"/>
  <c r="W79" i="3" s="1"/>
  <c r="X79" i="3" s="1"/>
  <c r="M79" i="3"/>
  <c r="D79" i="3"/>
  <c r="A79" i="3"/>
  <c r="X78" i="3"/>
  <c r="W78" i="3"/>
  <c r="V78" i="3"/>
  <c r="M78" i="3"/>
  <c r="D78" i="3"/>
  <c r="A78" i="3"/>
  <c r="V77" i="3"/>
  <c r="W77" i="3" s="1"/>
  <c r="X77" i="3" s="1"/>
  <c r="M77" i="3"/>
  <c r="D77" i="3"/>
  <c r="A77" i="3"/>
  <c r="V76" i="3"/>
  <c r="W76" i="3" s="1"/>
  <c r="X76" i="3" s="1"/>
  <c r="M76" i="3"/>
  <c r="D76" i="3"/>
  <c r="A76" i="3"/>
  <c r="V75" i="3"/>
  <c r="W75" i="3" s="1"/>
  <c r="X75" i="3" s="1"/>
  <c r="M75" i="3"/>
  <c r="D75" i="3"/>
  <c r="A75" i="3"/>
  <c r="X74" i="3"/>
  <c r="X104" i="3" s="1"/>
  <c r="E11" i="5" s="1"/>
  <c r="D11" i="5" s="1"/>
  <c r="F11" i="5" s="1"/>
  <c r="W74" i="3"/>
  <c r="V74" i="3"/>
  <c r="M74" i="3"/>
  <c r="D74" i="3"/>
  <c r="A74" i="3"/>
  <c r="J70" i="3"/>
  <c r="C10" i="5" s="1"/>
  <c r="X69" i="3"/>
  <c r="W69" i="3"/>
  <c r="V69" i="3"/>
  <c r="M69" i="3"/>
  <c r="D69" i="3"/>
  <c r="A69" i="3"/>
  <c r="V68" i="3"/>
  <c r="W68" i="3" s="1"/>
  <c r="X68" i="3" s="1"/>
  <c r="M68" i="3"/>
  <c r="D68" i="3"/>
  <c r="A68" i="3"/>
  <c r="V67" i="3"/>
  <c r="W67" i="3" s="1"/>
  <c r="X67" i="3" s="1"/>
  <c r="M67" i="3"/>
  <c r="D67" i="3"/>
  <c r="A67" i="3"/>
  <c r="V66" i="3"/>
  <c r="W66" i="3" s="1"/>
  <c r="X66" i="3" s="1"/>
  <c r="M66" i="3"/>
  <c r="D66" i="3"/>
  <c r="A66" i="3"/>
  <c r="X65" i="3"/>
  <c r="W65" i="3"/>
  <c r="V65" i="3"/>
  <c r="M65" i="3"/>
  <c r="D65" i="3"/>
  <c r="A65" i="3"/>
  <c r="V64" i="3"/>
  <c r="W64" i="3" s="1"/>
  <c r="X64" i="3" s="1"/>
  <c r="M64" i="3"/>
  <c r="D64" i="3"/>
  <c r="A64" i="3"/>
  <c r="V63" i="3"/>
  <c r="W63" i="3" s="1"/>
  <c r="X63" i="3" s="1"/>
  <c r="M63" i="3"/>
  <c r="D63" i="3"/>
  <c r="A63" i="3"/>
  <c r="V62" i="3"/>
  <c r="W62" i="3" s="1"/>
  <c r="X62" i="3" s="1"/>
  <c r="M62" i="3"/>
  <c r="D62" i="3"/>
  <c r="A62" i="3"/>
  <c r="V61" i="3"/>
  <c r="W61" i="3" s="1"/>
  <c r="X61" i="3" s="1"/>
  <c r="M61" i="3"/>
  <c r="D61" i="3"/>
  <c r="A61" i="3"/>
  <c r="V60" i="3"/>
  <c r="W60" i="3" s="1"/>
  <c r="X60" i="3" s="1"/>
  <c r="M60" i="3"/>
  <c r="D60" i="3"/>
  <c r="A60" i="3"/>
  <c r="V59" i="3"/>
  <c r="W59" i="3" s="1"/>
  <c r="X59" i="3" s="1"/>
  <c r="M59" i="3"/>
  <c r="D59" i="3"/>
  <c r="A59" i="3"/>
  <c r="V58" i="3"/>
  <c r="W58" i="3" s="1"/>
  <c r="X58" i="3" s="1"/>
  <c r="M58" i="3"/>
  <c r="D58" i="3"/>
  <c r="A58" i="3"/>
  <c r="V57" i="3"/>
  <c r="W57" i="3" s="1"/>
  <c r="X57" i="3" s="1"/>
  <c r="M57" i="3"/>
  <c r="D57" i="3"/>
  <c r="A57" i="3"/>
  <c r="V56" i="3"/>
  <c r="W56" i="3" s="1"/>
  <c r="X56" i="3" s="1"/>
  <c r="M56" i="3"/>
  <c r="D56" i="3"/>
  <c r="A56" i="3"/>
  <c r="V55" i="3"/>
  <c r="W55" i="3" s="1"/>
  <c r="X55" i="3" s="1"/>
  <c r="M55" i="3"/>
  <c r="D55" i="3"/>
  <c r="A55" i="3"/>
  <c r="V54" i="3"/>
  <c r="W54" i="3" s="1"/>
  <c r="X54" i="3" s="1"/>
  <c r="M54" i="3"/>
  <c r="D54" i="3"/>
  <c r="A54" i="3"/>
  <c r="V53" i="3"/>
  <c r="W53" i="3" s="1"/>
  <c r="X53" i="3" s="1"/>
  <c r="M53" i="3"/>
  <c r="D53" i="3"/>
  <c r="A53" i="3"/>
  <c r="V52" i="3"/>
  <c r="W52" i="3" s="1"/>
  <c r="X52" i="3" s="1"/>
  <c r="M52" i="3"/>
  <c r="D52" i="3"/>
  <c r="A52" i="3"/>
  <c r="V51" i="3"/>
  <c r="W51" i="3" s="1"/>
  <c r="X51" i="3" s="1"/>
  <c r="M51" i="3"/>
  <c r="D51" i="3"/>
  <c r="A51" i="3"/>
  <c r="V50" i="3"/>
  <c r="W50" i="3" s="1"/>
  <c r="X50" i="3" s="1"/>
  <c r="M50" i="3"/>
  <c r="D50" i="3"/>
  <c r="A50" i="3"/>
  <c r="V49" i="3"/>
  <c r="W49" i="3" s="1"/>
  <c r="X49" i="3" s="1"/>
  <c r="M49" i="3"/>
  <c r="D49" i="3"/>
  <c r="A49" i="3"/>
  <c r="V48" i="3"/>
  <c r="W48" i="3" s="1"/>
  <c r="X48" i="3" s="1"/>
  <c r="M48" i="3"/>
  <c r="D48" i="3"/>
  <c r="A48" i="3"/>
  <c r="V47" i="3"/>
  <c r="W47" i="3" s="1"/>
  <c r="X47" i="3" s="1"/>
  <c r="M47" i="3"/>
  <c r="D47" i="3"/>
  <c r="A47" i="3"/>
  <c r="V46" i="3"/>
  <c r="W46" i="3" s="1"/>
  <c r="X46" i="3" s="1"/>
  <c r="M46" i="3"/>
  <c r="D46" i="3"/>
  <c r="A46" i="3"/>
  <c r="V45" i="3"/>
  <c r="W45" i="3" s="1"/>
  <c r="X45" i="3" s="1"/>
  <c r="M45" i="3"/>
  <c r="D45" i="3"/>
  <c r="A45" i="3"/>
  <c r="V44" i="3"/>
  <c r="W44" i="3" s="1"/>
  <c r="X44" i="3" s="1"/>
  <c r="M44" i="3"/>
  <c r="D44" i="3"/>
  <c r="A44" i="3"/>
  <c r="V43" i="3"/>
  <c r="W43" i="3" s="1"/>
  <c r="X43" i="3" s="1"/>
  <c r="M43" i="3"/>
  <c r="D43" i="3"/>
  <c r="A43" i="3"/>
  <c r="V42" i="3"/>
  <c r="W42" i="3" s="1"/>
  <c r="X42" i="3" s="1"/>
  <c r="M42" i="3"/>
  <c r="D42" i="3"/>
  <c r="A42" i="3"/>
  <c r="V41" i="3"/>
  <c r="W41" i="3" s="1"/>
  <c r="X41" i="3" s="1"/>
  <c r="M41" i="3"/>
  <c r="D41" i="3"/>
  <c r="A41" i="3"/>
  <c r="V40" i="3"/>
  <c r="W40" i="3" s="1"/>
  <c r="X40" i="3" s="1"/>
  <c r="X70" i="3" s="1"/>
  <c r="E10" i="5" s="1"/>
  <c r="M40" i="3"/>
  <c r="D40" i="3"/>
  <c r="A40" i="3"/>
  <c r="J36" i="3"/>
  <c r="V35" i="3"/>
  <c r="W35" i="3" s="1"/>
  <c r="X35" i="3" s="1"/>
  <c r="M35" i="3"/>
  <c r="D35" i="3"/>
  <c r="A35" i="3"/>
  <c r="V34" i="3"/>
  <c r="W34" i="3" s="1"/>
  <c r="X34" i="3" s="1"/>
  <c r="M34" i="3"/>
  <c r="D34" i="3"/>
  <c r="A34" i="3"/>
  <c r="V33" i="3"/>
  <c r="W33" i="3" s="1"/>
  <c r="X33" i="3" s="1"/>
  <c r="M33" i="3"/>
  <c r="D33" i="3"/>
  <c r="A33" i="3"/>
  <c r="V32" i="3"/>
  <c r="W32" i="3" s="1"/>
  <c r="X32" i="3" s="1"/>
  <c r="M32" i="3"/>
  <c r="D32" i="3"/>
  <c r="A32" i="3"/>
  <c r="V31" i="3"/>
  <c r="W31" i="3" s="1"/>
  <c r="X31" i="3" s="1"/>
  <c r="M31" i="3"/>
  <c r="D31" i="3"/>
  <c r="A31" i="3"/>
  <c r="V30" i="3"/>
  <c r="W30" i="3" s="1"/>
  <c r="X30" i="3" s="1"/>
  <c r="M30" i="3"/>
  <c r="D30" i="3"/>
  <c r="A30" i="3"/>
  <c r="V29" i="3"/>
  <c r="W29" i="3" s="1"/>
  <c r="X29" i="3" s="1"/>
  <c r="M29" i="3"/>
  <c r="D29" i="3"/>
  <c r="A29" i="3"/>
  <c r="V28" i="3"/>
  <c r="W28" i="3" s="1"/>
  <c r="X28" i="3" s="1"/>
  <c r="M28" i="3"/>
  <c r="D28" i="3"/>
  <c r="A28" i="3"/>
  <c r="V27" i="3"/>
  <c r="W27" i="3" s="1"/>
  <c r="X27" i="3" s="1"/>
  <c r="M27" i="3"/>
  <c r="D27" i="3"/>
  <c r="A27" i="3"/>
  <c r="V26" i="3"/>
  <c r="W26" i="3" s="1"/>
  <c r="X26" i="3" s="1"/>
  <c r="M26" i="3"/>
  <c r="D26" i="3"/>
  <c r="A26" i="3"/>
  <c r="V25" i="3"/>
  <c r="W25" i="3" s="1"/>
  <c r="X25" i="3" s="1"/>
  <c r="M25" i="3"/>
  <c r="D25" i="3"/>
  <c r="A25" i="3"/>
  <c r="V24" i="3"/>
  <c r="W24" i="3" s="1"/>
  <c r="X24" i="3" s="1"/>
  <c r="M24" i="3"/>
  <c r="D24" i="3"/>
  <c r="A24" i="3"/>
  <c r="V23" i="3"/>
  <c r="W23" i="3" s="1"/>
  <c r="X23" i="3" s="1"/>
  <c r="M23" i="3"/>
  <c r="D23" i="3"/>
  <c r="A23" i="3"/>
  <c r="V22" i="3"/>
  <c r="W22" i="3" s="1"/>
  <c r="X22" i="3" s="1"/>
  <c r="M22" i="3"/>
  <c r="D22" i="3"/>
  <c r="A22" i="3"/>
  <c r="V21" i="3"/>
  <c r="W21" i="3" s="1"/>
  <c r="X21" i="3" s="1"/>
  <c r="M21" i="3"/>
  <c r="D21" i="3"/>
  <c r="A21" i="3"/>
  <c r="V20" i="3"/>
  <c r="W20" i="3" s="1"/>
  <c r="X20" i="3" s="1"/>
  <c r="M20" i="3"/>
  <c r="D20" i="3"/>
  <c r="A20" i="3"/>
  <c r="V19" i="3"/>
  <c r="W19" i="3" s="1"/>
  <c r="X19" i="3" s="1"/>
  <c r="M19" i="3"/>
  <c r="D19" i="3"/>
  <c r="A19" i="3"/>
  <c r="V18" i="3"/>
  <c r="W18" i="3" s="1"/>
  <c r="X18" i="3" s="1"/>
  <c r="M18" i="3"/>
  <c r="D18" i="3"/>
  <c r="A18" i="3"/>
  <c r="V17" i="3"/>
  <c r="W17" i="3" s="1"/>
  <c r="X17" i="3" s="1"/>
  <c r="M17" i="3"/>
  <c r="D17" i="3"/>
  <c r="A17" i="3"/>
  <c r="V16" i="3"/>
  <c r="W16" i="3" s="1"/>
  <c r="X16" i="3" s="1"/>
  <c r="M16" i="3"/>
  <c r="D16" i="3"/>
  <c r="A16" i="3"/>
  <c r="V15" i="3"/>
  <c r="W15" i="3" s="1"/>
  <c r="X15" i="3" s="1"/>
  <c r="M15" i="3"/>
  <c r="D15" i="3"/>
  <c r="A15" i="3"/>
  <c r="V14" i="3"/>
  <c r="W14" i="3" s="1"/>
  <c r="X14" i="3" s="1"/>
  <c r="M14" i="3"/>
  <c r="D14" i="3"/>
  <c r="A14" i="3"/>
  <c r="V13" i="3"/>
  <c r="W13" i="3" s="1"/>
  <c r="X13" i="3" s="1"/>
  <c r="M13" i="3"/>
  <c r="D13" i="3"/>
  <c r="A13" i="3"/>
  <c r="V12" i="3"/>
  <c r="W12" i="3" s="1"/>
  <c r="X12" i="3" s="1"/>
  <c r="M12" i="3"/>
  <c r="D12" i="3"/>
  <c r="A12" i="3"/>
  <c r="V11" i="3"/>
  <c r="W11" i="3" s="1"/>
  <c r="X11" i="3" s="1"/>
  <c r="M11" i="3"/>
  <c r="D11" i="3"/>
  <c r="A11" i="3"/>
  <c r="V10" i="3"/>
  <c r="W10" i="3" s="1"/>
  <c r="X10" i="3" s="1"/>
  <c r="M10" i="3"/>
  <c r="D10" i="3"/>
  <c r="A10" i="3"/>
  <c r="V9" i="3"/>
  <c r="W9" i="3" s="1"/>
  <c r="X9" i="3" s="1"/>
  <c r="M9" i="3"/>
  <c r="D9" i="3"/>
  <c r="A9" i="3"/>
  <c r="V8" i="3"/>
  <c r="W8" i="3" s="1"/>
  <c r="X8" i="3" s="1"/>
  <c r="M8" i="3"/>
  <c r="D8" i="3"/>
  <c r="A8" i="3"/>
  <c r="V7" i="3"/>
  <c r="W7" i="3" s="1"/>
  <c r="X7" i="3" s="1"/>
  <c r="M7" i="3"/>
  <c r="D7" i="3"/>
  <c r="A7" i="3"/>
  <c r="V6" i="3"/>
  <c r="W6" i="3" s="1"/>
  <c r="X6" i="3" s="1"/>
  <c r="X36" i="3" s="1"/>
  <c r="M6" i="3"/>
  <c r="D6" i="3"/>
  <c r="A6" i="3"/>
  <c r="E17" i="5" l="1"/>
  <c r="F17" i="5" s="1"/>
  <c r="E19" i="5"/>
  <c r="F19" i="5" s="1"/>
  <c r="D10" i="5"/>
  <c r="F10" i="5" s="1"/>
  <c r="J140" i="3"/>
  <c r="E9" i="5"/>
  <c r="X138" i="3"/>
  <c r="E12" i="5" s="1"/>
  <c r="D12" i="5" s="1"/>
  <c r="F12" i="5" s="1"/>
  <c r="H90" i="4"/>
  <c r="J90" i="4" s="1"/>
  <c r="H92" i="4"/>
  <c r="I90" i="4"/>
  <c r="I92" i="4"/>
  <c r="C9" i="5"/>
  <c r="C13" i="5" s="1"/>
  <c r="G91" i="4"/>
  <c r="G93" i="4"/>
  <c r="H91" i="4"/>
  <c r="H93" i="4"/>
  <c r="I91" i="4"/>
  <c r="I93" i="4"/>
  <c r="G90" i="4"/>
  <c r="X140" i="3" l="1"/>
  <c r="J92" i="4"/>
  <c r="J93" i="4"/>
  <c r="E13" i="5"/>
  <c r="D13" i="5" s="1"/>
  <c r="F13" i="5" s="1"/>
  <c r="D9" i="5"/>
  <c r="F9" i="5" s="1"/>
  <c r="J91" i="4"/>
</calcChain>
</file>

<file path=xl/sharedStrings.xml><?xml version="1.0" encoding="utf-8"?>
<sst xmlns="http://schemas.openxmlformats.org/spreadsheetml/2006/main" count="670" uniqueCount="526">
  <si>
    <t>مكتب الإشراف والتطوير المؤسسي (OID)
Oversight and Institutional Development</t>
  </si>
  <si>
    <t>متابعة مؤشرات الأداء  /  KPI Tracking</t>
  </si>
  <si>
    <t>معدّ التقرير
Report Prepared By</t>
  </si>
  <si>
    <t>اسم المؤسسة
Institution</t>
  </si>
  <si>
    <t>مراجعة واعتماد
Review &amp; Approval</t>
  </si>
  <si>
    <t>الفترة
Period</t>
  </si>
  <si>
    <t>منظور أصحاب المصلحة Stakeholder Perspective</t>
  </si>
  <si>
    <t>العوامل الأساسية  /  Key Drivers</t>
  </si>
  <si>
    <t>الإجمالي
Total</t>
  </si>
  <si>
    <t>المخطط والمنجز  /  Planned &amp; Achieved</t>
  </si>
  <si>
    <t>النتائج  /  Results</t>
  </si>
  <si>
    <t>#</t>
  </si>
  <si>
    <t>الهدف
Objective</t>
  </si>
  <si>
    <t>مؤشر الأداء
KPI</t>
  </si>
  <si>
    <t>الكود
Code</t>
  </si>
  <si>
    <t>القياس
Measurement</t>
  </si>
  <si>
    <t>دور المؤشر
KPI Role</t>
  </si>
  <si>
    <t>الوحدة
Unit</t>
  </si>
  <si>
    <t>القطبية
Polarity</t>
  </si>
  <si>
    <t>التردد
Frequency</t>
  </si>
  <si>
    <t>الوزن
Weight %</t>
  </si>
  <si>
    <t>خط الأساس
Baseline</t>
  </si>
  <si>
    <t>المستهدف السنوي
Annual Target</t>
  </si>
  <si>
    <t>الإجمالي
Total (B+T)</t>
  </si>
  <si>
    <t>مخطط
Q1 Plan</t>
  </si>
  <si>
    <t>منجز
Q1 Actual</t>
  </si>
  <si>
    <t>مخطط
Q2 Plan</t>
  </si>
  <si>
    <t>منجز
Q2 Actual</t>
  </si>
  <si>
    <t>مخطط
Q3 Plan</t>
  </si>
  <si>
    <t>منجز
Q3 Actual</t>
  </si>
  <si>
    <t>مخطط
Q4 Plan</t>
  </si>
  <si>
    <t>منجز
Q4 Actual</t>
  </si>
  <si>
    <t>المنجز السنوي
Annual Achieved</t>
  </si>
  <si>
    <t>نسبة الإنجاز
Achievement %</t>
  </si>
  <si>
    <t>النسبة المرجحة
Weighted %</t>
  </si>
  <si>
    <t>الإجمالي  /  Total</t>
  </si>
  <si>
    <t>منظور العمليات الداخلية Internal Process Perspective</t>
  </si>
  <si>
    <t>منظور التعلّم والنّمو Learning &amp; Growth Perspective</t>
  </si>
  <si>
    <t>المنظور المالي Financial Perspective</t>
  </si>
  <si>
    <t>مؤشر الأداء الكلي للمؤسسة  /  Overall Performance Index</t>
  </si>
  <si>
    <t>دليل قالب متابعة الأداء: المنهجية وإرشادات الاستخدام</t>
  </si>
  <si>
    <t>السلام عليكم ورحمة الله وبركاته، وبعد:</t>
  </si>
  <si>
    <t>بين أيديكم «قالب متابعة الأداء»، وهو الأداة التي تتابع بها كل مؤسسة مؤشرات أدائها وأنشطتها خلال العام، وتُعِدّ منها تقاريرها الربعية والسنوية، ونقرأ من خلاله أداء مؤسساتنا جميعًا بلغة واحدة. وقد حرصتُ في هذا الدليل على ألا أكتفي بشرح الخانات والمعادلات، بل أن أشرح المنطق الذي بُني عليه الملف؛ فمن فهم لماذا نقيس أحسن كيف يقيس. أرجو أن يُقرأ الدليل كاملًا قبل التعبئة الأولى، وأن يكون المرجع عند كل التباس.</t>
  </si>
  <si>
    <t>أولًا: مكونات الملف ودورة العمل</t>
  </si>
  <si>
    <t>يتكون الملف من أوراق مترابطة؛ تُعبَّأ البيانات في كل منها مرة واحدة، وتنتقل تلقائيًا إلى حيث تُحتاج:</t>
  </si>
  <si>
    <t>الورقة</t>
  </si>
  <si>
    <t>الغرض</t>
  </si>
  <si>
    <t>متى تُعبَّأ</t>
  </si>
  <si>
    <t>KPI Tracking</t>
  </si>
  <si>
    <t>بطاقة الأداء المتوازن: الأهداف والمؤشرات وأوزانها ومستهدفاتها والمنجز الفعلي لكل فترة، مع حساب نسب الإنجاز والأداء الكلي تلقائيًا.</t>
  </si>
  <si>
    <t>عند التخطيط، ثم كل ربع</t>
  </si>
  <si>
    <t>الأنشطة
(تقرير تنفيذ الخطة التشغيلية)</t>
  </si>
  <si>
    <t>سجل موحد للبرامج والأنشطة والفعاليات المجتمعية والتدريب، كل منها في سطر مع ربعه ونوعه، مع إجماليات حسب النوع للفترة المختارة وللسنة.</t>
  </si>
  <si>
    <t>كل ربع</t>
  </si>
  <si>
    <t>الملخص</t>
  </si>
  <si>
    <t>تقرير الأداء: يقرأ نتائج المؤشرات وملخص الخطة التشغيلية تلقائيًا، وتُكتب فيه الإنجازات والتحديات والمقترحات والإحصاءات السنوية.</t>
  </si>
  <si>
    <t>كل ربع، والإحصاءات السنوية في الربع الرابع</t>
  </si>
  <si>
    <t>Data</t>
  </si>
  <si>
    <t>القوائم والإعدادات التي تعتمد عليها المعادلات.</t>
  </si>
  <si>
    <t>لا تُعبَّأ ولا تُعدَّل</t>
  </si>
  <si>
    <t>دورة العمل</t>
  </si>
  <si>
    <t>في بداية العام: تُعتمد الأهداف والمؤشرات ثم المصفوفة كاملة (انظر الخطوة 3 في القسم الرابع)، وتُخطَّط الأنشطة. وفي نهاية كل ربع: يُسجَّل المنجز الفعلي للمؤشرات، وتُضاف أنشطة الربع، وتُكتب إنجازاته وتحدياته، ثم تُختار الفترة في رأس ورقة KPI Tracking ويُرسَل الملف إلى المكتب، فيكون هو تقرير ذلك الربع. وفي الربع الرابع تُعبَّأ الإحصاءات السنوية والمقترحات، فيكون الملف هو التقرير السنوي.</t>
  </si>
  <si>
    <t>ملف واحد للعام</t>
  </si>
  <si>
    <t>تعمل المؤسسة على الملف نفسه طوال العام، فيبني كل ربع على ما قبله ولا يُعاد إدخال شيء. ويحتفظ المكتب بنسخة كل ربع كما وصلته.</t>
  </si>
  <si>
    <t>ثانيًا: لماذا نقيس؟</t>
  </si>
  <si>
    <t>القياس للتعلّم</t>
  </si>
  <si>
    <t>لا نقيس لنحاسب، بل لنعرف أين نقف من أهدافنا ونصحّح المسار قبل نهاية العام لا بعده.</t>
  </si>
  <si>
    <t>ما يُقاس يُدار</t>
  </si>
  <si>
    <t>وما يُقاس خطأ يُدار خطأ؛ فالمؤشر الرديء أسوأ من غيابه، لأنه يمنح ثقة زائفة ويوجّه الجهد إلى غير موضعه.</t>
  </si>
  <si>
    <t>لغة مشتركة</t>
  </si>
  <si>
    <t>مؤسساتنا مختلفة الطبيعة بين إنسانية وتعليمية وتنموية، لكنها تشترك في منهجية واحدة تتيح المقارنة العادلة، وتبادل الخبرات، وتجميع أداء الشبكة كلها.</t>
  </si>
  <si>
    <t>الصدق قبل الجمال</t>
  </si>
  <si>
    <t>نسبة إنجاز متواضعة صادقة أنفع للمؤسسة من نسبة عالية لا تعكس الواقع؛ فالأولى تفتح باب التحسين، والثانية تغلقه.</t>
  </si>
  <si>
    <t>ثالثًا: منطق بطاقة الأداء المتوازن</t>
  </si>
  <si>
    <t>تنظر البطاقة إلى المؤسسة من أربع زوايا مجتمعة، لأن النظر من زاوية واحدة يُخفي ما يجري في غيرها؛ فقد تتحسن المؤشرات المالية على حساب الموظفين، أو تُنجَز الأنشطة دون أن يصل أثرها إلى المستفيد.</t>
  </si>
  <si>
    <t>المنظور</t>
  </si>
  <si>
    <t>السؤال الذي يجيب عنه</t>
  </si>
  <si>
    <t>محاور التركيز</t>
  </si>
  <si>
    <t>مثال على مؤشر</t>
  </si>
  <si>
    <t>أصحاب المصلحة</t>
  </si>
  <si>
    <t>هل نحقق الأثر المنتظر لمن نخدمهم ولشركائنا والجهات التي نعمل معها؟</t>
  </si>
  <si>
    <t>رضا المستفيدين، جودة المخرجات وأثرها، زيادة الوصول، العلاقة مع المانحين والشركاء، السمعة المؤسسية</t>
  </si>
  <si>
    <t>نسبة رضا المستفيدين عن الخدمات</t>
  </si>
  <si>
    <t>العمليات الداخلية</t>
  </si>
  <si>
    <t>في أي عملياتنا يجب أن نتميز لنحقق ذلك الأثر؟</t>
  </si>
  <si>
    <t>تنفيذ المشاريع، كفاءة الإجراءات وسرعتها، جودة الخدمة والامتثال</t>
  </si>
  <si>
    <t>متوسط مدة الاستجابة لطلبات المستفيدين</t>
  </si>
  <si>
    <t>التعلّم والنمو</t>
  </si>
  <si>
    <t>ما الذي نحتاجه في أفرادنا وأنظمتنا وثقافتنا لنتطور باستمرار؟</t>
  </si>
  <si>
    <t>تطوير الكفاءات والتدريب، الرضا الوظيفي والاستقرار، الحوكمة المؤسسية، التحول الرقمي، الأنظمة والمعرفة المؤسسية، ثقافة التحسين</t>
  </si>
  <si>
    <t>نسبة تنفيذ خطة التدريب</t>
  </si>
  <si>
    <t>المالي</t>
  </si>
  <si>
    <t>كيف نضمن الاستدامة والكفاءة في استخدام الموارد؟</t>
  </si>
  <si>
    <t>تنويع الإيرادات والاستدامة، كفاءة الإنفاق، الالتزام بالموازنة</t>
  </si>
  <si>
    <t>نسبة الإيرادات من مصادر غير المانحين</t>
  </si>
  <si>
    <t>وللتمييز بين منظوري العمليات الداخلية والتعلّم والنمو: العمليات الداخلية ما يتكرر تنفيذه في كل دورة عمل، أما التعلّم والنمو فقدرات تُبنى وتتراكم وتبقى في المؤسسة.</t>
  </si>
  <si>
    <t>علاقة السبب والنتيجة</t>
  </si>
  <si>
    <t>المناظير ليست قوائم منفصلة، بل سلسلة: الاستثمار في التعلّم والنمو يحسّن العمليات، والعمليات الجيدة تحقق الأثر لأصحاب المصلحة، والمنظور المالي يضمن استمرار ذلك كله. وفي مؤسساتنا غير الربحية تأتي رسالتنا تجاه أصحاب المصلحة في رأس السلسلة، ويبقى المال وسيلة للاستدامة لا غاية في ذاته.</t>
  </si>
  <si>
    <t>معنى التوازن</t>
  </si>
  <si>
    <t>لذلك خصّصنا لكل منظور 25% من الوزن بالتساوي، حتى لا يطغى منظور على آخر، ولا يُغطّي التفوق في جانب على الإخفاق في جانب.</t>
  </si>
  <si>
    <t>رابعًا: منهجية المؤشرات خطوة بخطوة</t>
  </si>
  <si>
    <t>الخطوة 1
الأهداف</t>
  </si>
  <si>
    <t>ابدؤوا من الأهداف الاستراتيجية المعتمدة في خطة مؤسستكم، لا من المؤشرات المتاحة. ويُصاغ الهدف بصيغة نتيجة مرغوبة («تحسين رضا المستفيدين عن الخدمات»)، لا بصيغة نشاط («تنفيذ استبيان»).</t>
  </si>
  <si>
    <t>الخطوة 2
المؤشر</t>
  </si>
  <si>
    <t>المؤشر الجيد يقيس الهدف مباشرة، وتتوفر له بيانات موثوقة، ويكون تعريفه محددًا بحيث لو حسبه شخصان لوصلا إلى الرقم نفسه. ويكفي من مؤشرين إلى أربعة لكل هدف؛ فكثرة المؤشرات تشتّت ولا تضيف.</t>
  </si>
  <si>
    <t>الخطوة 3
الاعتماد المرحلي</t>
  </si>
  <si>
    <t>يعتمد المكتب المصفوفة على مرحلتين: الأولى للأهداف والمؤشرات قبل أي تعبئة، ويتحقق فيها من انتماء كل هدف إلى منظوره ومن صلاحية مؤشراته؛ والثانية للمصفوفة كاملة بأوزانها ومستهدفاتها قبل بدء القياس. فلا تبدؤوا التعبئة قبل اعتماد المرحلة الأولى، ولا الرصد قبل اعتماد الثانية؛ لأن نقل هدف إلى منظور آخر أو تغيير مؤشر بعد التعبئة يعني إعادة العمل كله.</t>
  </si>
  <si>
    <t>الخطوة 4
القياس والوحدة</t>
  </si>
  <si>
    <t>حددوا طبيعة القياس أولًا: كمي نسبي ووحدته النسبة %، أو كمي عددي ووحداته العدد أو المبلغ أو الأيام، أو نوعي ويُحوَّل إلى درجة على مقياس ليكرت الخماسي ليصبح قابلًا للقياس والمقارنة.</t>
  </si>
  <si>
    <t>الخطوة 5
دور المؤشر</t>
  </si>
  <si>
    <t>المؤشر القيادي يقيس ما نفعله الآن ويقود إلى النتيجة (مثل ساعات التدريب)، ومؤشر النتائج يقيس ما تحقق (مثل رضا المستفيدين). احرصوا أن يجمع كل هدف بين النوعين ما أمكن: فإذا تأخرت النتيجة رجعنا إلى المؤشرات القيادية؛ فإن تأخرت هي أيضًا فالخلل في التنفيذ.</t>
  </si>
  <si>
    <t>الخطوة 6
القطبية</t>
  </si>
  <si>
    <t>تصاعدي: كلما زاد الرقم كان أفضل (عدد المستفيدين). تنازلي: كلما قلّ كان أفضل (مدة الاستجابة، نسبة التسرب).</t>
  </si>
  <si>
    <t>الخطوة 7
طريقة الاحتساب</t>
  </si>
  <si>
    <t>هذا أهم قرار في تعبئة المؤشر، وهو وحده الذي يحدد كيف يُحسب المنجز السنوي، أيًّا كانت الوحدة. وقبل الاختيار اسألوا: هل الرقم الذي سأسجله في هذه الفترة جزءٌ جديد يُضاف إلى ما قبله؟ أم رصيدٌ حتى تاريخه؟ أم قياسٌ لمستوى قائم؟</t>
  </si>
  <si>
    <t>طريقة الاحتساب</t>
  </si>
  <si>
    <t>ماذا يُسجَّل في كل فترة</t>
  </si>
  <si>
    <t>كيف يُحسب المنجز السنوي</t>
  </si>
  <si>
    <t>أمثلة</t>
  </si>
  <si>
    <t>مستقل</t>
  </si>
  <si>
    <t>ما أُنجز داخل الفترة فقط</t>
  </si>
  <si>
    <t>مجموع الفترات</t>
  </si>
  <si>
    <t>عدد المستفيدين الجدد، الإيرادات المحصلة، نسبة إنجاز مقسّمة على الفترات</t>
  </si>
  <si>
    <t>تراكمي</t>
  </si>
  <si>
    <t>الرصيد المتحقق حتى نهاية الفترة</t>
  </si>
  <si>
    <t>آخر قيمة مسجلة</t>
  </si>
  <si>
    <t>نسبة إنجاز المشروع حتى تاريخه، عدد الشراكات الفعالة</t>
  </si>
  <si>
    <t>متوسط</t>
  </si>
  <si>
    <t>قياس مستقل لمستوى قائم</t>
  </si>
  <si>
    <t>متوسط الفترات</t>
  </si>
  <si>
    <t>نسبة رضا المستفيدين، نسبة الحضور، درجات ليكرت</t>
  </si>
  <si>
    <t>سنوي</t>
  </si>
  <si>
    <t>قياس واحد في نهاية العام</t>
  </si>
  <si>
    <t>قيمة الربع الرابع</t>
  </si>
  <si>
    <t>مؤشرات التقييم السنوي</t>
  </si>
  <si>
    <t>تنبيه: الوحدة وحدها لا تحدد طريقة الاحتساب؛ فالنسبة قد تكون نسبة إنجاز تُجمع، وقد تكون مستوى رضا لا يُجمع أبدًا. ولو اختير «مستقل» لنسبة رضا قيمها 78 و80 و82 و80 لجمعها الملف فأصبحت 320%.</t>
  </si>
  <si>
    <t>الخطوة 8
خط الأساس والمستهدف</t>
  </si>
  <si>
    <t>خط الأساس هو المستوى الذي تبدؤون منه قبل فترة الخطة، وهو المرجع للحكم على طموح المستهدف ومقدار التحسن. واكتبوا في خانة المستهدف السنوي ما تريدون تحقيقه هذا العام وحده، دون إضافة خط الأساس إليه؛ والملف يعرض مجموعهما في عمود «الإجمالي (B+T)» حيث يكون للمجموع معنى. أما مؤشرات المستوى (المحسوبة بالمتوسط أو بمقياس ليكرت) فالمستهدف فيها مستوى نهائي لا يُضاف إلى خط الأساس، ولذلك يبقى العمود فارغًا لها.</t>
  </si>
  <si>
    <t>الخطوة 9
توزيع المستهدف على الفترات</t>
  </si>
  <si>
    <t>في الطريقة المستقلة: وزّعوا المستهدف أجزاءً مجموعها المستهدف السنوي. في التراكمية: اكتبوا الرصيد المخطط حتى نهاية كل فترة، وآخره يساوي المستهدف. في المتوسط: اكتبوا المستوى المستهدف نفسه في كل فترة. في السنوية: الربع الرابع فقط. ونسبة الإنجاز تُحسب مقابل المستهدف السنوي، أما المخطط لكل فترة فمرجع للمتابعة الدورية.</t>
  </si>
  <si>
    <t>الخطوة 10
الأوزان</t>
  </si>
  <si>
    <t>لكل منظور 25% بالضبط، والمجموع 100%. وزّعوا وزن المنظور على مؤشراته بحسب أهمية الهدف التابع له وتأثيره الاستراتيجي، وتجنبوا تفتيت الوزن على مؤشرات كثيرة بأوزان رمزية لا أثر لها.</t>
  </si>
  <si>
    <t>الخطوة 11
الرصد والتوثيق</t>
  </si>
  <si>
    <t>سجّلوا المنجز الفعلي لكل فترة بعد إغلاقها، واحتفظوا بمصدر كل رقم ودليله جاهزًا للاطلاع عند زيارات المكتب. ولا تُعدَّل أرقام فترة سابقة بعد إرسالها إلا بإيضاح مكتوب للمكتب.</t>
  </si>
  <si>
    <t>خامسًا: كيف تُقرأ نتائج المؤشرات؟</t>
  </si>
  <si>
    <t>المنجز السنوي</t>
  </si>
  <si>
    <t>يُحسب تلقائيًا بحسب طريقة الاحتساب المختارة لكل مؤشر.</t>
  </si>
  <si>
    <t>نسبة الإنجاز</t>
  </si>
  <si>
    <t>في المؤشر التصاعدي: المنجز ÷ المستهدف. وفي التنازلي: المستهدف ÷ المنجز. وتظهر بقيمتها الحقيقية حتى لو تجاوزت 100%، ليظهر التفوق كما هو.</t>
  </si>
  <si>
    <t>النسبة المرجحة</t>
  </si>
  <si>
    <t>نسبة الإنجاز × وزن المؤشر، مع احتساب 100% حدًّا أعلى. فالتفوق في مؤشر يُذكر ويُقدَّر، لكنه لا يعوّض الإخفاق في مؤشر آخر؛ وهذا هو معنى التوازن.</t>
  </si>
  <si>
    <t>الإجماليات</t>
  </si>
  <si>
    <t>إجمالي كل منظور من 25، ومؤشر الأداء الكلي للمؤسسة من 100.</t>
  </si>
  <si>
    <t>الخلية الفارغة ليست صفرًا</t>
  </si>
  <si>
    <t>ما لم تُدخَل بيانات تبقى النتيجة فارغة، ولا تُعرض نتيجة المؤشر السنوي قبل إدخال قيمة الربع الرابع. فالفراغ يعني «لم يُقَس بعد»، لا «لم يتحقق».</t>
  </si>
  <si>
    <t>سادسًا: الأنشطة وتقرير الأداء</t>
  </si>
  <si>
    <t>تسجيل الأنشطة</t>
  </si>
  <si>
    <t>يُسجَّل كل نشاط في سطر مع الربع الذي نُفِّذ فيه ونوعه (برنامج أو مشروع أو نشاط، أو فعالية مجتمعية، أو تدريب وبناء قدرات)، بعدد مستفيديه أو مشاركيه ومخططه ومنجزه. والنشاط الممتد على أكثر من ربع يُسجَّل في سطر لكل ربع بما خُطِّط وأُنجز فيه. ويُكتب كود المؤشر الذي يخدمه النشاط، ليظهر الرابط بين ما نفعله وما نقيسه.</t>
  </si>
  <si>
    <t>إجماليات الأنشطة</t>
  </si>
  <si>
    <t>تحت السجل جدول إجماليات لكل نوع وللمجموع: للفترة المختارة وحدها، وللسنة كاملة. وتُظلَّل أسطر الربع المختار في السجل ليظهر ما يدخل في إجماليه.</t>
  </si>
  <si>
    <t>نتيجة المؤشرات في الملخص</t>
  </si>
  <si>
    <t>تُقرأ تلقائيًا من صفوف الإجمالي في ورقة KPI Tracking: وزن كل منظور ودرجته المرجحة والمحققة وتقييمه، ثم الدرجة الإجمالية. ويُحسب التقييم بسلّم موحد: ضعيف دون 60%، ومتوسط من 60%، وجيد من 75%، وممتاز من 90%.</t>
  </si>
  <si>
    <t>ملخص الخطة التشغيلية</t>
  </si>
  <si>
    <t>يُقرأ تلقائيًا من سجل الأنشطة بحسب نوع كل نشاط، من بداية العام حتى الفترة المختارة: البرامج والأنشطة المنفذة، والمستفيدون الفعليون، والفعاليات والأنشطة المجتمعية، وبرامج بناء القدرات. أما عدد المستفيدين المخطط فيُكتب يدويًا.</t>
  </si>
  <si>
    <t>الأقسام السردية</t>
  </si>
  <si>
    <t>اكتبوا الإنجاز مع أثره وكود المؤشر الذي يدعمه، والتحدي مع أسبابه والإجراء المتخذ لمعالجته، والمقترح المرفوع لمجلس الأمناء مع مبرره وأولويته وتكلفته التقديرية. فالتقرير الجيد لا يسرد ما حدث فقط، بل يفسّره ويقترح ما بعده.</t>
  </si>
  <si>
    <t>الإحصاءات السنوية</t>
  </si>
  <si>
    <t>مقارنة بين السنة السابقة والسنة الحالية، تُعبَّأ في تقرير الربع الرابع فقط.</t>
  </si>
  <si>
    <t>سابعًا: إرشادات الاستخدام</t>
  </si>
  <si>
    <t>عام</t>
  </si>
  <si>
    <t>1</t>
  </si>
  <si>
    <t>لا تبدؤوا تعبئة الملف قبل اعتماد المكتب للأهداف والمؤشرات، ولا الرصد قبل اعتماد المصفوفة كاملة (انظر الخطوة 3).</t>
  </si>
  <si>
    <t>2</t>
  </si>
  <si>
    <t>اختاروا اسم المؤسسة والفترة من القائمتين في رأس ورقة KPI Tracking؛ فهما يتحكمان في الملف كله، ويظهران تلقائيًا في ورقتي الأنشطة والملخص، ويظهر اختصار المؤسسة في أكواد المؤشرات.</t>
  </si>
  <si>
    <t>3</t>
  </si>
  <si>
    <t>الخلايا الملونة بالفيروزي تُحسب تلقائيًا؛ فلا تكتبوا فيها ولا تعدّلوها.</t>
  </si>
  <si>
    <t>4</t>
  </si>
  <si>
    <t>لا تعدّلوا ورقة Data ولا نصوص الخيارات في القوائم، فالمعادلات تعتمد عليها.</t>
  </si>
  <si>
    <t>5</t>
  </si>
  <si>
    <t>يمكن استخدام الملف من اليسار إلى اليمين والكتابة فيه بالإنجليزية، فجميع العناوين والخيارات ثنائية اللغة. ولتغيير اتجاه الورقة استخدموا زر «ورقة من اليمين إلى اليسار» في تبويب «تخطيط الصفحة». وفي الحالتين اختاروا القيم من القوائم ولا تكتبوها يدويًا، لأن الحسابات تعتمد على نص الخيار كما هو.</t>
  </si>
  <si>
    <t>ورقة KPI Tracking</t>
  </si>
  <si>
    <t>6</t>
  </si>
  <si>
    <t>اكتبوا الهدف في أول صف من مجموعته فقط، واتركوا خانة الهدف للصفوف التي تليها فارغة بحسب عدد المؤشرات التابعة له.</t>
  </si>
  <si>
    <t>7</t>
  </si>
  <si>
    <t>عبّئوا الأعمدة بالترتيب: القياس، ثم الوحدة، ثم التردد (طريقة الاحتساب). فالقوائم مترابطة، وتعرض في كل خطوة الخيارات المناسبة لما قبلها.</t>
  </si>
  <si>
    <t>8</t>
  </si>
  <si>
    <t>إذا ظهرت خلية الوحدة أو التردد باللون الأحمر فهي متعارضة مع ما قبلها، وغالبًا بسبب تغيير القياس بعد الاختيار؛ فأعيدوا اختيارها. ويمكن تغيير أي اختيار في أي وقت.</t>
  </si>
  <si>
    <t>9</t>
  </si>
  <si>
    <t>اكتبوا الوزن رقمًا دون علامة % (مثال: 5). ولن يقبل الملف وزنًا يتجاوز به مجموع المنظور 25.</t>
  </si>
  <si>
    <t>10</t>
  </si>
  <si>
    <t>قبل الإرسال تأكدوا أن إجمالي الأوزان 25 في كل منظور، و100 في صف مؤشر الأداء الكلي.</t>
  </si>
  <si>
    <t>11</t>
  </si>
  <si>
    <t>في كل منظور 30 صفًا جاهزًا؛ احذفوا الزائد منها بعد اكتمال التعبئة (حدّدوها من أرقام الصفوف ثم «حذف»). وتتسلسل الأكواد تلقائيًا بعد الحذف، ولذلك يكون الحذف قبل الاعتماد لا بعده.</t>
  </si>
  <si>
    <t>12</t>
  </si>
  <si>
    <t>بعد اعتماد المصفوفة لا تُعدَّل المؤشرات ولا الأوزان ولا ترتيب الصفوف، ويقتصر التحديث على المنجز الفعلي لكل فترة.</t>
  </si>
  <si>
    <t>ورقتا الأنشطة والملخص</t>
  </si>
  <si>
    <t>13</t>
  </si>
  <si>
    <t>سجّلوا كل نشاط مع ربعه ونوعه من القائمتين؛ ولعرض ربع واحد أو نوع واحد استخدموا الفلتر في رأس السجل.</t>
  </si>
  <si>
    <t>14</t>
  </si>
  <si>
    <t>اكتبوا كود المؤشر الداعم كما يظهر في ورقة KPI Tracking؛ ولن يقبل الملف كودًا غير موجود فيها.</t>
  </si>
  <si>
    <t>15</t>
  </si>
  <si>
    <t>في الملخص لا تُكتب نتائج المؤشرات ولا ملخص الخطة التشغيلية يدويًا، فهي تُقرأ من الورقتين الأخريين. وما يُكتب يدويًا: المستفيدون المخطط لهم، والإحصاءات السنوية، والإنجازات، والتحديات، والمقترحات، والملاحظات.</t>
  </si>
  <si>
    <t>16</t>
  </si>
  <si>
    <t>قبل إرسال الملف في نهاية كل ربع تأكدوا أن الفترة المختارة هي الربع المُبلَّغ عنه.</t>
  </si>
  <si>
    <t>ثامنًا: أخطاء شائعة نرجو تجنبها</t>
  </si>
  <si>
    <t>اختيار «مستقل» لمؤشر مستوى</t>
  </si>
  <si>
    <t>مثل نسبة الرضا أو الحضور، فتُجمع قيم الفترات وتظهر نسب غير منطقية. الصواب: «متوسط».</t>
  </si>
  <si>
    <t>تسجيل الرصيد في مؤشر مستقل</t>
  </si>
  <si>
    <t>إذا كانت القيم المسجلة أرصدة حتى تاريخه واختير «مستقل» تضاعف المنجز. الصواب: «تراكمي».</t>
  </si>
  <si>
    <t>إضافة خط الأساس إلى المستهدف</t>
  </si>
  <si>
    <t>اكتبوا في خانة المستهدف ما تريدون تحقيقه هذا العام فقط.</t>
  </si>
  <si>
    <t>كتابة الوزن بعلامة %</t>
  </si>
  <si>
    <t>يحوّل Excel «5%» إلى 0.05 فتختل الحسابات. اكتبوا 5 فقط.</t>
  </si>
  <si>
    <t>مؤشر يقيس نشاطًا لا هدفًا</t>
  </si>
  <si>
    <t>مثل «عدد الاجتماعات»؛ اسألوا دائمًا: هل تحسّن هذا الرقم يعني أن الهدف تحقق فعلًا؟</t>
  </si>
  <si>
    <t>نشاط بلا ربع أو نوع</t>
  </si>
  <si>
    <t>فلا يدخل في إجماليات الفترة والنوع ولا في ملخص الخطة التشغيلية. اختاروا الربع والنوع لكل سطر.</t>
  </si>
  <si>
    <t>إرسال التقرير بفترة غير محدّثة</t>
  </si>
  <si>
    <t>فتُعرض نتائج ربع آخر. اختاروا الفترة قبل الإرسال.</t>
  </si>
  <si>
    <t>ختامًا، فإن المكتب شريككم في هذا العمل قبل أن يكون مشرفًا عليه؛ وغايتنا جميعًا أن نخدم رسالة مؤسساتنا بوضوح وصدق. وأي استفسار عن المنهجية أو الملف، فباب المكتب مفتوح لكم.</t>
  </si>
  <si>
    <t>مدير مكتب الإشراف والتطوير المؤسسي</t>
  </si>
  <si>
    <t>Oversight and Institutional Development (OID)
مكتب الإشراف والتطوير المؤسسي</t>
  </si>
  <si>
    <t>Performance Monitoring Template Guide: Methodology and Instructions</t>
  </si>
  <si>
    <t>Dear colleagues,</t>
  </si>
  <si>
    <t>Before you is the Performance Monitoring Template: the tool with which each institution tracks its key performance indicators and activities throughout the year and prepares its quarterly and annual reports, and through which we read the performance of all our institutions in one common language. In this guide I have not limited myself to explaining the fields and formulas; I have also set out the reasoning on which the file is built, because whoever understands why we measure measures better. Please read the guide in full before the first use, and return to it whenever something is unclear.</t>
  </si>
  <si>
    <t>First: The File and the Work Cycle</t>
  </si>
  <si>
    <t>The file consists of linked sheets; data is entered once in each and flows automatically to wherever it is needed:</t>
  </si>
  <si>
    <t>Sheet</t>
  </si>
  <si>
    <t>Purpose</t>
  </si>
  <si>
    <t>When it is filled in</t>
  </si>
  <si>
    <t>The balanced scorecard: objectives, indicators, weights, targets and actual achievement for each period, with achievement rates and overall performance calculated automatically.</t>
  </si>
  <si>
    <t>At planning, then every quarter</t>
  </si>
  <si>
    <t>Activities (الأنشطة)
Operational Plan Implementation Report</t>
  </si>
  <si>
    <t>A single register of programs, activities, community events and training, each in a row with its quarter and type, with totals by type for the selected period and for the year.</t>
  </si>
  <si>
    <t>Every quarter</t>
  </si>
  <si>
    <t>Summary (الملخص)</t>
  </si>
  <si>
    <t>The performance report: it reads the indicator results and the operational plan summary automatically, and is where achievements, challenges, proposals and annual statistics are written.</t>
  </si>
  <si>
    <t>Every quarter; annual statistics in the fourth quarter</t>
  </si>
  <si>
    <t>The lists and settings the formulas rely on.</t>
  </si>
  <si>
    <t>Neither filled in nor changed</t>
  </si>
  <si>
    <t>The work cycle</t>
  </si>
  <si>
    <t>At the start of the year, the objectives and indicators, then the full matrix, are approved (see Step 3 in Section Four), and activities are planned. At the end of each quarter, record the actual achievement of the indicators, add the quarter’s activities, and write up its achievements and challenges; then select the period at the top of the KPI Tracking sheet and send the file to the Office. That is the report for the quarter. In the fourth quarter, fill in the annual statistics and proposals, and the file becomes the annual report.</t>
  </si>
  <si>
    <t>One file per year</t>
  </si>
  <si>
    <t>The institution works on the same file throughout the year, so each quarter builds on the previous one and nothing is entered twice. The Office keeps a copy of each quarterly submission as received.</t>
  </si>
  <si>
    <t>Second: Why Do We Measure?</t>
  </si>
  <si>
    <t>Measuring to learn</t>
  </si>
  <si>
    <t>We do not measure to hold people to account, but to know where we stand against our objectives and to correct course before the end of the year, not after it.</t>
  </si>
  <si>
    <t>What gets measured gets managed</t>
  </si>
  <si>
    <t>And what is measured wrongly is managed wrongly: a poor indicator is worse than none, because it gives false confidence and directs effort to the wrong place.</t>
  </si>
  <si>
    <t>A common language</t>
  </si>
  <si>
    <t>Our institutions differ in nature (humanitarian, educational and developmental), but they share one methodology that allows fair comparison, the exchange of experience, and the consolidation of the whole network’s performance.</t>
  </si>
  <si>
    <t>Honesty before appearance</t>
  </si>
  <si>
    <t>A modest but honest achievement rate is more useful to the institution than a high rate that does not reflect reality: the first opens the door to improvement; the second closes it.</t>
  </si>
  <si>
    <t>Third: The Logic of the Balanced Scorecard</t>
  </si>
  <si>
    <t>The scorecard looks at the institution from four angles together, because looking from one angle hides what happens in the others: financial indicators may improve at the expense of staff, or activities may be completed without their impact reaching the beneficiary.</t>
  </si>
  <si>
    <t>Perspective</t>
  </si>
  <si>
    <t>The question it answers</t>
  </si>
  <si>
    <t>Focus areas</t>
  </si>
  <si>
    <t>Example indicator</t>
  </si>
  <si>
    <t>Stakeholders</t>
  </si>
  <si>
    <t>Are we delivering the expected impact for those we serve, our partners and the bodies we work with?</t>
  </si>
  <si>
    <t>Beneficiary satisfaction, quality and impact of outputs, expanding reach, relations with donors and partners, institutional reputation</t>
  </si>
  <si>
    <t>Beneficiary satisfaction rate with services</t>
  </si>
  <si>
    <t>Internal Processes</t>
  </si>
  <si>
    <t>Which of our processes must we excel at to achieve that impact?</t>
  </si>
  <si>
    <t>Project implementation, efficiency and speed of procedures, service quality and compliance</t>
  </si>
  <si>
    <t>Average response time to beneficiary requests</t>
  </si>
  <si>
    <t>Learning &amp; Growth</t>
  </si>
  <si>
    <t>What do we need in our people, systems and culture to keep developing?</t>
  </si>
  <si>
    <t>Staff competencies and training, job satisfaction and retention, institutional governance, digital transformation, institutional systems and knowledge, a culture of improvement</t>
  </si>
  <si>
    <t>Training plan implementation rate</t>
  </si>
  <si>
    <t>Financial</t>
  </si>
  <si>
    <t>How do we ensure sustainability and the efficient use of resources?</t>
  </si>
  <si>
    <t>Revenue diversification and sustainability, spending efficiency, budget adherence</t>
  </si>
  <si>
    <t>Share of revenue from non-donor sources</t>
  </si>
  <si>
    <t>To tell Internal Processes from Learning &amp; Growth: internal processes are what is carried out again in every work cycle, while learning and growth are capabilities that are built up, accumulate and remain within the institution.</t>
  </si>
  <si>
    <t>Cause and effect</t>
  </si>
  <si>
    <t>The perspectives are not separate lists but a chain: investing in learning and growth improves processes, good processes deliver impact for stakeholders, and the financial perspective sustains it all. In our non-profit institutions, our mission towards stakeholders sits at the top of the chain, and money remains a means of sustainability, not an end in itself.</t>
  </si>
  <si>
    <t>The meaning of balance</t>
  </si>
  <si>
    <t>That is why each perspective carries an equal 25% of the weight, so that no perspective dominates another and excellence in one area does not mask failure in another.</t>
  </si>
  <si>
    <t>Fourth: The Indicator Methodology Step by Step</t>
  </si>
  <si>
    <t>Step 1
Objectives</t>
  </si>
  <si>
    <t>Start from the strategic objectives approved in your institution’s plan, not from the indicators that happen to be available. Phrase each objective as a desired result (“Improve beneficiary satisfaction with services”), not as an activity (“Conduct a survey”).</t>
  </si>
  <si>
    <t>Step 2
The indicator</t>
  </si>
  <si>
    <t>A good indicator measures the objective directly, is supported by reliable data, and is defined precisely enough that two people calculating it would arrive at the same number. Two to four indicators per objective are enough; too many indicators scatter attention and add nothing.</t>
  </si>
  <si>
    <t>Step 3
Phased approval</t>
  </si>
  <si>
    <t>The Office approves the matrix in two stages. The first covers the objectives and indicators, before anything is filled in: the Office checks that each objective belongs to its perspective and that its indicators are sound. The second covers the full matrix, with its weights and targets, before measurement begins. Do not start filling in before the first stage is approved, nor start monitoring before the second, because moving an objective to another perspective or changing an indicator after filling means redoing the whole work.</t>
  </si>
  <si>
    <t>Step 4
Measurement &amp; unit</t>
  </si>
  <si>
    <t>First set the measurement type: quantitative percentage, with % as its unit; quantitative number, with count, amount or days as its unit; or qualitative, converted to a score on the five-point Likert scale so that it can be measured and compared.</t>
  </si>
  <si>
    <t>Step 5
KPI role</t>
  </si>
  <si>
    <t>A leading indicator measures what we are doing now that leads to the result (e.g. training hours); a lagging indicator measures what has been achieved (e.g. beneficiary satisfaction). Wherever possible, give each objective both types: if the result falls behind, we look back at the leading indicators, and if they are behind too, the problem lies in execution.</t>
  </si>
  <si>
    <t>Step 6
Polarity</t>
  </si>
  <si>
    <t>Ascending: the higher the number, the better (number of beneficiaries). Descending: the lower the number, the better (response time, dropout rate).</t>
  </si>
  <si>
    <t>Step 7
Calculation method</t>
  </si>
  <si>
    <t>This is the most important decision when filling in an indicator, and it alone determines how the annual achievement is calculated, whatever the unit. Before choosing, ask: is the number I record for this period a new portion added to what came before? A running balance to date? Or a measurement of an existing level?</t>
  </si>
  <si>
    <t>Calculation method</t>
  </si>
  <si>
    <t>What is recorded each period</t>
  </si>
  <si>
    <t>How the annual achievement is calculated</t>
  </si>
  <si>
    <t>Examples</t>
  </si>
  <si>
    <t>Independent</t>
  </si>
  <si>
    <t>Only what was achieved within the period</t>
  </si>
  <si>
    <t>Sum of the periods</t>
  </si>
  <si>
    <t>New beneficiaries, revenue collected, an achievement rate split across periods</t>
  </si>
  <si>
    <t>Cumulative</t>
  </si>
  <si>
    <t>The balance achieved by the end of the period</t>
  </si>
  <si>
    <t>Last recorded value</t>
  </si>
  <si>
    <t>Project completion rate to date, number of active partnerships</t>
  </si>
  <si>
    <t>Average</t>
  </si>
  <si>
    <t>A separate measurement of an existing level</t>
  </si>
  <si>
    <t>Average of the periods</t>
  </si>
  <si>
    <t>Beneficiary satisfaction rate, attendance rate, Likert scores</t>
  </si>
  <si>
    <t>Annual</t>
  </si>
  <si>
    <t>A single measurement at year end</t>
  </si>
  <si>
    <t>Fourth-quarter value</t>
  </si>
  <si>
    <t>Annual assessment indicators</t>
  </si>
  <si>
    <t>Note: the unit alone does not determine the calculation method. A percentage may be an achievement rate that is summed, or a satisfaction level that must never be summed. If “Independent” were chosen for a satisfaction rate with values of 78, 80, 82 and 80, the file would add them up to 320%.</t>
  </si>
  <si>
    <t>Step 8
Baseline &amp; target</t>
  </si>
  <si>
    <t>The baseline is the level you start from before the plan period; it is the reference for judging how ambitious the target is and how much improvement has been made. In the annual target field, enter only what you aim to achieve this year, without adding the baseline to it; the file shows their sum in the “Total (B+T)” column wherever a sum is meaningful. For level indicators (calculated as an average or on the Likert scale), the target is a final level that is not added to the baseline, so that column stays empty for them.</t>
  </si>
  <si>
    <t>Step 9
Spreading the target across periods</t>
  </si>
  <si>
    <t>Independent: split the target into portions that add up to the annual target. Cumulative: enter the planned balance at the end of each period, with the last one equal to the target. Average: enter the same target level for each period. Annual: the fourth quarter only. The achievement rate is calculated against the annual target; the plan for each period is a reference for periodic follow-up.</t>
  </si>
  <si>
    <t>Step 10
Weights</t>
  </si>
  <si>
    <t>Each perspective carries exactly 25%, for a total of 100%. Distribute a perspective’s weight among its indicators according to the importance and strategic impact of the objective each one belongs to, and avoid fragmenting the weight across many indicators with token weights that make no difference.</t>
  </si>
  <si>
    <t>Step 11
Monitoring &amp; evidence</t>
  </si>
  <si>
    <t>Record the actual achievement for each period after it closes, and keep the source and evidence of every figure ready for review during the Office’s visits. Figures for a past period are not changed after submission except with a written explanation to the Office.</t>
  </si>
  <si>
    <t>Fifth: How to Read the Indicator Results</t>
  </si>
  <si>
    <t>Annual achievement</t>
  </si>
  <si>
    <t>Calculated automatically according to the calculation method chosen for each indicator.</t>
  </si>
  <si>
    <t>Achievement rate</t>
  </si>
  <si>
    <t>For an ascending indicator: achievement ÷ target. For a descending one: target ÷ achievement. It is shown at its true value even above 100%, so that over-achievement is visible as it is.</t>
  </si>
  <si>
    <t>Weighted score</t>
  </si>
  <si>
    <t>Achievement rate × indicator weight, counting 100% as the maximum. Over-achievement on one indicator is noted and appreciated, but it does not compensate for under-achievement on another; that is what balance means.</t>
  </si>
  <si>
    <t>Totals</t>
  </si>
  <si>
    <t>Each perspective total is out of 25, and the institution’s overall performance index is out of 100.</t>
  </si>
  <si>
    <t>An empty cell is not zero</t>
  </si>
  <si>
    <t>Until data is entered the result stays empty, and an annual indicator shows no result before the fourth-quarter value is entered. Empty means “not yet measured”, not “not achieved”.</t>
  </si>
  <si>
    <t>Sixth: Activities and the Performance Report</t>
  </si>
  <si>
    <t>Recording activities</t>
  </si>
  <si>
    <t>Record each activity in a row with the quarter in which it was carried out and its type (program, project or activity; community event; or training and capacity building), with its beneficiaries or participants, plan and achievement. An activity spanning more than one quarter is recorded in one row per quarter, with what was planned and achieved in each. Enter the code of the indicator the activity serves, so that the link between what we do and what we measure is visible.</t>
  </si>
  <si>
    <t>Activity totals</t>
  </si>
  <si>
    <t>Below the register is a totals table for each type and overall: for the selected period alone and for the full year. Rows of the selected quarter are shaded in the register so that it is clear what its totals include.</t>
  </si>
  <si>
    <t>Indicator results in the summary</t>
  </si>
  <si>
    <t>Read automatically from the total rows of the KPI Tracking sheet: each perspective’s weight, weighted and achieved scores and rating, then the overall score. Ratings follow a single scale: Weak below 60%, Average from 60%, Good from 75%, Excellent from 90%.</t>
  </si>
  <si>
    <t>Operational plan summary</t>
  </si>
  <si>
    <t>Read automatically from the activities register according to each activity’s type, from the start of the year up to the selected period: programs and activities carried out, beneficiaries reached, events and community engagement, and capacity-building programs. Only the planned number of beneficiaries is entered manually.</t>
  </si>
  <si>
    <t>Narrative sections</t>
  </si>
  <si>
    <t>Write each achievement with its impact and the code of the indicator it supports; each challenge with its causes and the action taken; and each proposal to the Board of Trustees with its justification, priority and estimated cost. A good report does not merely list what happened; it explains it and proposes what comes next.</t>
  </si>
  <si>
    <t>Annual statistics</t>
  </si>
  <si>
    <t>A comparison between the previous and the current year, filled in for the fourth-quarter report only.</t>
  </si>
  <si>
    <t>Seventh: Instructions for Use</t>
  </si>
  <si>
    <t>General</t>
  </si>
  <si>
    <t>Do not start filling in the file before the Office has approved the objectives and indicators, nor start monitoring before the full matrix is approved (see Step 3).</t>
  </si>
  <si>
    <t>Select the institution name and the period from the two lists at the top of the KPI Tracking sheet; they control the whole file, appear automatically in the Activities and Summary sheets, and the institution’s abbreviation appears in the indicator codes.</t>
  </si>
  <si>
    <t>Turquoise cells are calculated automatically; do not type in them or change them.</t>
  </si>
  <si>
    <t>Do not change the Data sheet or the wording of the list options, as the formulas depend on them.</t>
  </si>
  <si>
    <t>The file can be used left-to-right and filled in English, as all headings and options are bilingual. To change the sheet direction, use the “Sheet Right-to-Left” button on the Page Layout tab. In either case, choose values from the lists rather than typing them, because the calculations rely on the option text exactly as it is.</t>
  </si>
  <si>
    <t>The KPI Tracking sheet</t>
  </si>
  <si>
    <t>Write the objective only in the first row of its group, and leave the objective cell empty in the following rows, according to the number of indicators that belong to it.</t>
  </si>
  <si>
    <t>Fill in the columns in order: Measurement, then Unit, then Frequency (calculation method). The lists are linked, and at each step they show only the options that fit the previous choice.</t>
  </si>
  <si>
    <t>If a Unit or Frequency cell turns red, it conflicts with the previous choice, usually because the Measurement was changed afterwards; simply choose it again. Any choice can be changed at any time.</t>
  </si>
  <si>
    <t>Enter the weight as a number without the % sign (e.g. 5). The file will not accept a weight that pushes the perspective total above 25.</t>
  </si>
  <si>
    <t>Before submitting, make sure the weights total 25 in each perspective and 100 in the overall performance index row.</t>
  </si>
  <si>
    <t>Each perspective has 30 ready rows; delete the unused ones once filling is complete (select them by their row numbers, then “Delete”). Codes renumber automatically after deletion, so delete before approval, not after.</t>
  </si>
  <si>
    <t>Once the matrix is approved, indicators, weights and row order are not changed; updates are limited to the actual achievement for each period.</t>
  </si>
  <si>
    <t>The Activities and Summary sheets</t>
  </si>
  <si>
    <t>Record every activity with its quarter and type from the two lists; to view a single quarter or type, use the filter at the top of the register.</t>
  </si>
  <si>
    <t>Enter the supporting KPI code exactly as it appears in the KPI Tracking sheet; the file will not accept a code that does not exist there.</t>
  </si>
  <si>
    <t>In the Summary, indicator results and the operational plan summary are not typed in; they are read from the other two sheets. What is written manually: planned beneficiaries, annual statistics, achievements, challenges, proposals and notes.</t>
  </si>
  <si>
    <t>Before sending the file at the end of each quarter, make sure the selected period is the quarter being reported.</t>
  </si>
  <si>
    <t>Eighth: Common Mistakes to Avoid</t>
  </si>
  <si>
    <t>Choosing “Independent” for a level indicator</t>
  </si>
  <si>
    <t>Such as a satisfaction or attendance rate: the period values are added up and illogical rates appear. Correct choice: “Average”.</t>
  </si>
  <si>
    <t>Recording balances under “Independent”</t>
  </si>
  <si>
    <t>If the recorded values are balances to date and “Independent” is chosen, the achievement is inflated. Correct choice: “Cumulative”.</t>
  </si>
  <si>
    <t>Adding the baseline to the target</t>
  </si>
  <si>
    <t>In the target field, enter only what you aim to achieve this year.</t>
  </si>
  <si>
    <t>Entering the weight with a % sign</t>
  </si>
  <si>
    <t>Excel turns “5%” into 0.05 and the calculations go wrong. Enter 5 only.</t>
  </si>
  <si>
    <t>An indicator that measures an activity, not an objective</t>
  </si>
  <si>
    <t>Such as “number of meetings”. Always ask: does an improvement in this number really mean the objective has been achieved?</t>
  </si>
  <si>
    <t>An activity with no quarter or type</t>
  </si>
  <si>
    <t>It is left out of the period and type totals and the operational plan summary. Choose the quarter and type for every row.</t>
  </si>
  <si>
    <t>Sending the report with the wrong period selected</t>
  </si>
  <si>
    <t>The results of another quarter are shown. Select the period before sending.</t>
  </si>
  <si>
    <t>In closing, the Office is your partner in this work before it is your supervisor; our shared aim is to serve our institutions’ mission with clarity and honesty. For any question about the methodology or the file, the Office’s door is open to you.</t>
  </si>
  <si>
    <t>Director, Oversight and Institutional Development Office</t>
  </si>
  <si>
    <t>تقرير تنفيذ الخطة التشغيلية  /  Operational Plan Implementation Report</t>
  </si>
  <si>
    <t>تُختار المؤسسة والفترة من رأس ورقة KPI Tracking  /  Institution and period are selected in the KPI Tracking sheet</t>
  </si>
  <si>
    <t>سجل البرامج والأنشطة  /  Programs &amp; Activities Register</t>
  </si>
  <si>
    <t>النوع
Type</t>
  </si>
  <si>
    <t>البرنامج / النشاط
Program / Activity</t>
  </si>
  <si>
    <t>الفئة المستهدفة
Target Group</t>
  </si>
  <si>
    <t>الجهة المنفذة
Implementer</t>
  </si>
  <si>
    <t>المستفيدون / المشاركون
Beneficiaries / Participants</t>
  </si>
  <si>
    <t>المخطط
Planned</t>
  </si>
  <si>
    <t>المنجز
Achieved</t>
  </si>
  <si>
    <t>كود المؤشر الداعم
Supporting KPI Code</t>
  </si>
  <si>
    <t>الإجماليات حسب النوع  /  Totals by Type</t>
  </si>
  <si>
    <t>البند  /  Item</t>
  </si>
  <si>
    <t>الفترة المختارة  /  Selected Period:  برنامج / مشروع / نشاط — Program / Project / Activity</t>
  </si>
  <si>
    <t>الفترة المختارة  /  Selected Period:  فعالية مجتمعية — Community Event</t>
  </si>
  <si>
    <t>الفترة المختارة  /  Selected Period:  تدريب وبناء قدرات — Training &amp; Capacity Building</t>
  </si>
  <si>
    <t>الفترة المختارة  /  Selected Period:  الإجمالي  /  Total</t>
  </si>
  <si>
    <t>السنة كاملة  /  Full Year:  برنامج / مشروع / نشاط — Program / Project / Activity</t>
  </si>
  <si>
    <t>السنة كاملة  /  Full Year:  فعالية مجتمعية — Community Event</t>
  </si>
  <si>
    <t>السنة كاملة  /  Full Year:  تدريب وبناء قدرات — Training &amp; Capacity Building</t>
  </si>
  <si>
    <t>السنة كاملة  /  Full Year:  الإجمالي  /  Total</t>
  </si>
  <si>
    <t>اسم المؤسسة 
Name of the institution</t>
  </si>
  <si>
    <t>الفترة Period</t>
  </si>
  <si>
    <t>معدّ التقرير
 Report writer</t>
  </si>
  <si>
    <t>مراجعة واعتماد
 Review and approval</t>
  </si>
  <si>
    <t>الملخص التنفيذي Executive Summary</t>
  </si>
  <si>
    <t>نتيجة مؤشرات الأداء الرئيسية  /  KPI Overall Result</t>
  </si>
  <si>
    <t>المنظور
Perspective</t>
  </si>
  <si>
    <t>الوزن %
Weight %</t>
  </si>
  <si>
    <t>الدرجة المحققة
Score Achieved</t>
  </si>
  <si>
    <t>الدرجة المرجحة
Weighted Score</t>
  </si>
  <si>
    <t>التقييم
Rating</t>
  </si>
  <si>
    <t>ملاحظات
Notes</t>
  </si>
  <si>
    <t>العمليات الداخلية Internal Processes</t>
  </si>
  <si>
    <t>التعلم والنمو Learning &amp; Growth</t>
  </si>
  <si>
    <t>الدرجة الإجمالية  /  Overall Score</t>
  </si>
  <si>
    <t>ملخص الخطة التشغيلية  /  Operational Plan Summary</t>
  </si>
  <si>
    <t>البيان Item</t>
  </si>
  <si>
    <t>المخطط Planned</t>
  </si>
  <si>
    <t>المنجز Achieved</t>
  </si>
  <si>
    <t>نسبة الإنجاز Achievement %</t>
  </si>
  <si>
    <t>التقييم Rating</t>
  </si>
  <si>
    <t>الملاحظة Note</t>
  </si>
  <si>
    <t>البرامج والمشاريع والأنشطة المنفذة | Programs/Projects/Activities</t>
  </si>
  <si>
    <t>المستفيدون الفعليون | Beneficiaries Reached</t>
  </si>
  <si>
    <t>الفعاليات والأنشطة المجتمعية  |  Events &amp; Engagement</t>
  </si>
  <si>
    <t>برامج التطوير وبناء القدرات | 
 Capacity &amp; Development Programs</t>
  </si>
  <si>
    <t>الإحصاءات السنوية والمقارنة | ANNUAL STATISTICS &amp; COMPARISON</t>
  </si>
  <si>
    <t>الفئة | Category</t>
  </si>
  <si>
    <t>السنة السابقة | Previous Year</t>
  </si>
  <si>
    <t>السنة الحالية | Current Year</t>
  </si>
  <si>
    <t>نسبة التغير | Change %</t>
  </si>
  <si>
    <t>عدد الطلاب/المستفيدين | Students/Beneficiaries</t>
  </si>
  <si>
    <t>عدد الموظفين/الكادر | Staff</t>
  </si>
  <si>
    <t>عدد الخريجين/المشاركين الذين أكملوا البرامج| Number of Graduates/Participants Completing Programs</t>
  </si>
  <si>
    <t>عدد الشراكات/الفعاليات | Partnerships/Events</t>
  </si>
  <si>
    <t>الميزانية التشغيلية Operating Budget</t>
  </si>
  <si>
    <t>أبرز الإنجازات  /  Key Achievements</t>
  </si>
  <si>
    <t>الإنجاز Achievement</t>
  </si>
  <si>
    <t>المجال Area</t>
  </si>
  <si>
    <t>الأثر Impact</t>
  </si>
  <si>
    <t>كود المؤشر الداعم Supporting KPI Code</t>
  </si>
  <si>
    <t>التحديات الرئيسية  /  Key Challenges</t>
  </si>
  <si>
    <t>التحدي Challenge</t>
  </si>
  <si>
    <t>التصنيف Category</t>
  </si>
  <si>
    <t>مدى التأثير Impact</t>
  </si>
  <si>
    <t>الأسباب Reasons</t>
  </si>
  <si>
    <t>الإجراء المتخذ Action Taken</t>
  </si>
  <si>
    <t>الحالة Status</t>
  </si>
  <si>
    <t>ملاحظات Notes</t>
  </si>
  <si>
    <t>قائمة المقترحات المرفوعة لمجلس الأمناء  /  Proposals Submitted to the Board of Trustees</t>
  </si>
  <si>
    <t>المقترح Proposal</t>
  </si>
  <si>
    <t>المبرر Justification</t>
  </si>
  <si>
    <t>الأثر المتوقع Expected Impact</t>
  </si>
  <si>
    <t>الأولوية Priority</t>
  </si>
  <si>
    <t>التكلفة التقديرية Est. Cost</t>
  </si>
  <si>
    <t>الجدول الزمني Timeline</t>
  </si>
  <si>
    <t>الاختصار
Abbrev.</t>
  </si>
  <si>
    <t>طبيعة القياس
Measurement Nature</t>
  </si>
  <si>
    <t>وحدات القياس العددي
Number Units</t>
  </si>
  <si>
    <t>وحدة القياس النسبي
Percentage Unit</t>
  </si>
  <si>
    <t>وحدة القياس النوعي
Qualitative Unit</t>
  </si>
  <si>
    <t>تردد المؤشرات النوعية
Qualitative Frequency</t>
  </si>
  <si>
    <t>الأولوية
Priority</t>
  </si>
  <si>
    <t>مستوى الأثر
Impact Level</t>
  </si>
  <si>
    <t>الحد الأدنى للنسبة
Min %</t>
  </si>
  <si>
    <t>نوع النشاط
Activity Type</t>
  </si>
  <si>
    <t>مؤسسة زمزم Zamzam Foundation</t>
  </si>
  <si>
    <t>ZF</t>
  </si>
  <si>
    <t>Q1</t>
  </si>
  <si>
    <t>أصحاب المصلحة Stakeholder</t>
  </si>
  <si>
    <t>كمي نسبي Quantitative %</t>
  </si>
  <si>
    <t>قيادي Leading</t>
  </si>
  <si>
    <t>عدد Number</t>
  </si>
  <si>
    <t>تصاعدي Ascending</t>
  </si>
  <si>
    <t>ربعي - مستقل Quarterly-Independent</t>
  </si>
  <si>
    <t>نسبة % Percentage</t>
  </si>
  <si>
    <t>مقياس ليكرت الخماسي Likert 1-5</t>
  </si>
  <si>
    <t>ربعي - متوسط Quarterly-Average</t>
  </si>
  <si>
    <t>عالية / High</t>
  </si>
  <si>
    <t>مرتفع High</t>
  </si>
  <si>
    <t>ضعيف Weak</t>
  </si>
  <si>
    <t>برنامج / مشروع / نشاط  Program / Project / Activity</t>
  </si>
  <si>
    <t>جامعة زمزم Zamzam University</t>
  </si>
  <si>
    <t>ZUST</t>
  </si>
  <si>
    <t>Q2</t>
  </si>
  <si>
    <t>العمليات الداخلية Internal Process</t>
  </si>
  <si>
    <t>كمي عددي Quantitative Number</t>
  </si>
  <si>
    <t>نتائج Lagging</t>
  </si>
  <si>
    <t>تنازلي Descending</t>
  </si>
  <si>
    <t>ربعي - تراكمي Quarterly-Cumulative</t>
  </si>
  <si>
    <t>مبلغ $ Amount</t>
  </si>
  <si>
    <t>نصف سنوي - متوسط Semi-Annual-Average</t>
  </si>
  <si>
    <t>متوسطة / Medium</t>
  </si>
  <si>
    <t>متوسط Medium</t>
  </si>
  <si>
    <t>متوسط Average</t>
  </si>
  <si>
    <t>فعالية مجتمعية  Community Event</t>
  </si>
  <si>
    <t>زاد للتنمية Zad for Development</t>
  </si>
  <si>
    <t>ZAD</t>
  </si>
  <si>
    <t>Q3</t>
  </si>
  <si>
    <t>التعلّم والنّمو Learning &amp; Growth</t>
  </si>
  <si>
    <t>نوعي Qualitative</t>
  </si>
  <si>
    <t>أيام Days</t>
  </si>
  <si>
    <t>سنوي Annual</t>
  </si>
  <si>
    <t>منخفضة / Low</t>
  </si>
  <si>
    <t>منخفض Low</t>
  </si>
  <si>
    <t>جيد Good</t>
  </si>
  <si>
    <t>تدريب وبناء قدرات  Training &amp; Capacity Building</t>
  </si>
  <si>
    <t>كافي للتنمية Kafi for Development</t>
  </si>
  <si>
    <t>Kafi</t>
  </si>
  <si>
    <t>Q4</t>
  </si>
  <si>
    <t>المالي Financial</t>
  </si>
  <si>
    <t>نصف سنوي - مستقل Semi-Annual-Independent</t>
  </si>
  <si>
    <t>ممتاز Excellent</t>
  </si>
  <si>
    <t>تيو للتعليم Tayo for Education</t>
  </si>
  <si>
    <t>Tayo</t>
  </si>
  <si>
    <t>نصف سنوي - تراكمي Semi-Annual-Cumulative</t>
  </si>
  <si>
    <t>منظمة حمدي للتنمية Hamdi Organization</t>
  </si>
  <si>
    <t>Hamdi</t>
  </si>
  <si>
    <t>يُعدَّل الحد الأدنى لكل تقييم من هنا (تصاعديًا)  |  Edit thresholds here (ascending)</t>
  </si>
  <si>
    <t>تقرير الأداء الربعي والسنوي Quarterly &amp; Annual Performance 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</si>
</sst>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
    <numFmt numFmtId="166" formatCode="#,##0.00;\(#,##0.00\);&quot;-&quot;"/>
    <numFmt numFmtId="167" formatCode="yyyy/mm/dd"/>
  </numFmts>
  <fonts count="36" x14ac:knownFonts="1">
    <font>
      <sz val="11"/>
      <color theme="1"/>
      <name val="Calibri"/>
      <family val="2"/>
      <charset val="1"/>
    </font>
    <font>
      <sz val="18"/>
      <color rgb="FFFFFFFF"/>
      <name val="29LT Azer Medium"/>
      <charset val="1"/>
    </font>
    <font>
      <sz val="16"/>
      <color rgb="FFFFFFFF"/>
      <name val="29LT Azer Medium"/>
      <charset val="1"/>
    </font>
    <font>
      <b/>
      <sz val="11"/>
      <color rgb="FF000000"/>
      <name val="Tajawal"/>
      <charset val="1"/>
    </font>
    <font>
      <sz val="11"/>
      <color rgb="FF000000"/>
      <name val="Tajawal"/>
      <charset val="1"/>
    </font>
    <font>
      <sz val="14"/>
      <color rgb="FFFFFFFF"/>
      <name val="29LT Azer Medium"/>
      <charset val="1"/>
    </font>
    <font>
      <b/>
      <sz val="11"/>
      <color rgb="FFFFFFFF"/>
      <name val="Tajawal"/>
      <charset val="1"/>
    </font>
    <font>
      <b/>
      <sz val="10"/>
      <color rgb="FFFFFFFF"/>
      <name val="Tajawal"/>
      <charset val="1"/>
    </font>
    <font>
      <sz val="18"/>
      <color rgb="FFFFFFFF"/>
      <name val="29LT Azer Medium"/>
    </font>
    <font>
      <sz val="14"/>
      <color rgb="FFFFFFFF"/>
      <name val="29LT Azer Medium"/>
    </font>
    <font>
      <sz val="11"/>
      <color rgb="FF000000"/>
      <name val="Tajawal"/>
    </font>
    <font>
      <sz val="10"/>
      <color rgb="FF595959"/>
      <name val="Tajawal"/>
    </font>
    <font>
      <sz val="16"/>
      <color rgb="FFFFFFFF"/>
      <name val="29LT Azer Medium"/>
    </font>
    <font>
      <sz val="11"/>
      <color theme="1"/>
      <name val="Calibri"/>
      <family val="2"/>
      <scheme val="minor"/>
    </font>
    <font>
      <sz val="12"/>
      <name val="Tajawal"/>
    </font>
    <font>
      <sz val="12"/>
      <color theme="1"/>
      <name val="Tajawal"/>
    </font>
    <font>
      <sz val="12"/>
      <color theme="1"/>
      <name val="Aptos Narrow"/>
      <family val="2"/>
      <charset val="1"/>
    </font>
    <font>
      <sz val="11"/>
      <color rgb="FF9E9E9E"/>
      <name val="Tajawal"/>
    </font>
    <font>
      <sz val="11"/>
      <color rgb="FF212121"/>
      <name val="Tajawal"/>
    </font>
    <font>
      <sz val="11"/>
      <color rgb="FF000000"/>
      <name val="Tajawal"/>
    </font>
    <font>
      <b/>
      <sz val="10"/>
      <color rgb="FFFFFFFF"/>
      <name val="Tajawal"/>
    </font>
    <font>
      <b/>
      <sz val="11"/>
      <color rgb="FF5D4037"/>
      <name val="Tajawal"/>
    </font>
    <font>
      <sz val="11"/>
      <color rgb="FF222222"/>
      <name val="Tajawal"/>
    </font>
    <font>
      <sz val="18"/>
      <color rgb="FFFFFFFF"/>
      <name val="29LT Azer Medium"/>
    </font>
    <font>
      <sz val="16"/>
      <color rgb="FFFFFFFF"/>
      <name val="29LT Azer Medium"/>
    </font>
    <font>
      <b/>
      <sz val="12"/>
      <color rgb="FF000000"/>
      <name val="Tajawal"/>
    </font>
    <font>
      <sz val="12"/>
      <color rgb="FF000000"/>
      <name val="Tajawal"/>
    </font>
    <font>
      <sz val="14"/>
      <color rgb="FFFFFFFF"/>
      <name val="29LT Azer Medium"/>
    </font>
    <font>
      <sz val="11"/>
      <color rgb="FF9E9E9E"/>
      <name val="Tajawal"/>
    </font>
    <font>
      <sz val="10"/>
      <color rgb="FF000000"/>
      <name val="Tajawal"/>
    </font>
    <font>
      <b/>
      <sz val="10"/>
      <color rgb="FFFFFFFF"/>
      <name val="Tajawal"/>
    </font>
    <font>
      <sz val="15"/>
      <color rgb="FFFFFFFF"/>
      <name val="29LT Azer Medium"/>
    </font>
    <font>
      <sz val="11.5"/>
      <color rgb="FF000000"/>
      <name val="Tajawal"/>
    </font>
    <font>
      <b/>
      <sz val="12"/>
      <color rgb="FF137B79"/>
      <name val="Tajawal"/>
    </font>
    <font>
      <b/>
      <sz val="11.5"/>
      <color rgb="FF9C0006"/>
      <name val="Tajawal"/>
    </font>
    <font>
      <b/>
      <sz val="13"/>
      <color rgb="FF137B79"/>
      <name val="Tajawal"/>
    </font>
  </fonts>
  <fills count="21">
    <fill>
      <patternFill patternType="none"/>
    </fill>
    <fill>
      <patternFill patternType="gray125"/>
    </fill>
    <fill>
      <patternFill patternType="solid">
        <fgColor rgb="FF137B79"/>
        <bgColor rgb="FF008080"/>
      </patternFill>
    </fill>
    <fill>
      <patternFill patternType="solid">
        <fgColor rgb="FF4472C4"/>
        <bgColor rgb="FF666699"/>
      </patternFill>
    </fill>
    <fill>
      <patternFill patternType="solid">
        <fgColor rgb="FFDAF2D0"/>
        <bgColor rgb="FFDEFAF9"/>
      </patternFill>
    </fill>
    <fill>
      <patternFill patternType="solid">
        <fgColor rgb="FFEBF3FB"/>
        <bgColor rgb="FFDEFAF9"/>
      </patternFill>
    </fill>
    <fill>
      <patternFill patternType="solid">
        <fgColor rgb="FFDEFAF9"/>
        <bgColor rgb="FFEBF3FB"/>
      </patternFill>
    </fill>
    <fill>
      <patternFill patternType="solid">
        <fgColor rgb="FF137B79"/>
      </patternFill>
    </fill>
    <fill>
      <patternFill patternType="solid">
        <fgColor rgb="FF4472C4"/>
      </patternFill>
    </fill>
    <fill>
      <patternFill patternType="solid">
        <fgColor rgb="FFD0D0D0"/>
        <bgColor rgb="FFD0D7DE"/>
      </patternFill>
    </fill>
    <fill>
      <patternFill patternType="solid">
        <fgColor rgb="FFDAF2D0"/>
        <bgColor rgb="FFE8E8E8"/>
      </patternFill>
    </fill>
    <fill>
      <patternFill patternType="solid">
        <fgColor rgb="FFDEFAF9"/>
      </patternFill>
    </fill>
    <fill>
      <patternFill patternType="solid">
        <fgColor rgb="FF4472C4"/>
        <bgColor indexed="64"/>
      </patternFill>
    </fill>
    <fill>
      <patternFill patternType="solid">
        <fgColor theme="0"/>
        <bgColor indexed="64"/>
      </patternFill>
    </fill>
    <fill>
      <patternFill patternType="solid">
        <fgColor rgb="FFFFFFFF"/>
      </patternFill>
    </fill>
    <fill>
      <patternFill patternType="solid">
        <fgColor rgb="FF137B79"/>
      </patternFill>
    </fill>
    <fill>
      <patternFill patternType="solid">
        <fgColor rgb="FF4472C4"/>
      </patternFill>
    </fill>
    <fill>
      <patternFill patternType="solid">
        <fgColor rgb="FFDAF2D0"/>
      </patternFill>
    </fill>
    <fill>
      <patternFill patternType="solid">
        <fgColor rgb="FFDEFAF9"/>
      </patternFill>
    </fill>
    <fill>
      <patternFill patternType="solid">
        <fgColor rgb="FFF2F6FC"/>
      </patternFill>
    </fill>
    <fill>
      <patternFill patternType="solid">
        <fgColor rgb="FF5B84CF"/>
      </patternFill>
    </fill>
  </fills>
  <borders count="22">
    <border>
      <left/>
      <right/>
      <top/>
      <bottom/>
      <diagonal/>
    </border>
    <border>
      <left style="medium">
        <color rgb="FFAAAAAA"/>
      </left>
      <right/>
      <top style="medium">
        <color rgb="FFAAAAAA"/>
      </top>
      <bottom style="medium">
        <color rgb="FFAAAAAA"/>
      </bottom>
      <diagonal/>
    </border>
    <border>
      <left style="thin">
        <color rgb="FFD0D0D0"/>
      </left>
      <right style="thin">
        <color rgb="FFD0D0D0"/>
      </right>
      <top style="thin">
        <color rgb="FFD0D0D0"/>
      </top>
      <bottom style="thin">
        <color rgb="FFD0D0D0"/>
      </bottom>
      <diagonal/>
    </border>
    <border>
      <left/>
      <right/>
      <top style="medium">
        <color rgb="FFAAAAAA"/>
      </top>
      <bottom style="medium">
        <color rgb="FFAAAAAA"/>
      </bottom>
      <diagonal/>
    </border>
    <border>
      <left style="thin">
        <color rgb="FFD0D0D0"/>
      </left>
      <right style="thin">
        <color rgb="FFD0D0D0"/>
      </right>
      <top/>
      <bottom/>
      <diagonal/>
    </border>
    <border>
      <left style="thin">
        <color rgb="FFFFFFFF"/>
      </left>
      <right style="thin">
        <color rgb="FFFFFFFF"/>
      </right>
      <top style="thin">
        <color rgb="FFFFFFFF"/>
      </top>
      <bottom style="thin">
        <color rgb="FFFFFFFF"/>
      </bottom>
      <diagonal/>
    </border>
    <border>
      <left style="thin">
        <color rgb="FFFFFFFF"/>
      </left>
      <right style="thin">
        <color rgb="FFFFFFFF"/>
      </right>
      <top style="thin">
        <color rgb="FFFFFFFF"/>
      </top>
      <bottom/>
      <diagonal/>
    </border>
    <border>
      <left style="medium">
        <color rgb="FF137B79"/>
      </left>
      <right/>
      <top/>
      <bottom/>
      <diagonal/>
    </border>
    <border>
      <left style="thin">
        <color theme="2"/>
      </left>
      <right style="thin">
        <color theme="2"/>
      </right>
      <top style="thin">
        <color theme="2"/>
      </top>
      <bottom style="thin">
        <color theme="2"/>
      </bottom>
      <diagonal/>
    </border>
    <border>
      <left style="thin">
        <color theme="2"/>
      </left>
      <right style="thin">
        <color theme="2"/>
      </right>
      <top style="thin">
        <color theme="2"/>
      </top>
      <bottom/>
      <diagonal/>
    </border>
    <border>
      <left style="thin">
        <color rgb="FFBDBDBD"/>
      </left>
      <right style="thin">
        <color rgb="FFBDBDBD"/>
      </right>
      <top style="thin">
        <color rgb="FFBDBDBD"/>
      </top>
      <bottom style="thin">
        <color rgb="FFBDBDBD"/>
      </bottom>
      <diagonal/>
    </border>
    <border>
      <left style="thin">
        <color rgb="FFC8DCC1"/>
      </left>
      <right style="thin">
        <color rgb="FFC8DCC1"/>
      </right>
      <top style="thin">
        <color rgb="FFC8DCC1"/>
      </top>
      <bottom style="thin">
        <color rgb="FFC8DCC1"/>
      </bottom>
      <diagonal/>
    </border>
    <border>
      <left/>
      <right/>
      <top/>
      <bottom style="thin">
        <color theme="2"/>
      </bottom>
      <diagonal/>
    </border>
    <border>
      <left/>
      <right/>
      <top style="thin">
        <color rgb="FFFFFFFF"/>
      </top>
      <bottom/>
      <diagonal/>
    </border>
    <border>
      <left/>
      <right style="thin">
        <color rgb="FFFFFFFF"/>
      </right>
      <top style="thin">
        <color rgb="FFFFFFFF"/>
      </top>
      <bottom/>
      <diagonal/>
    </border>
    <border>
      <left/>
      <right/>
      <top style="thin">
        <color rgb="FFFFFFFF"/>
      </top>
      <bottom style="thin">
        <color rgb="FFFFFFFF"/>
      </bottom>
      <diagonal/>
    </border>
    <border>
      <left/>
      <right style="thin">
        <color rgb="FFFFFFFF"/>
      </right>
      <top style="thin">
        <color rgb="FFFFFFFF"/>
      </top>
      <bottom style="thin">
        <color rgb="FFFFFFFF"/>
      </bottom>
      <diagonal/>
    </border>
    <border>
      <left style="thin">
        <color rgb="FFD0D0D0"/>
      </left>
      <right style="thin">
        <color rgb="FFD0D0D0"/>
      </right>
      <top style="thin">
        <color rgb="FFD0D0D0"/>
      </top>
      <bottom style="thin">
        <color rgb="FFD0D0D0"/>
      </bottom>
      <diagonal/>
    </border>
    <border>
      <left/>
      <right/>
      <top style="thin">
        <color rgb="FFD0D0D0"/>
      </top>
      <bottom style="thin">
        <color rgb="FFD0D0D0"/>
      </bottom>
      <diagonal/>
    </border>
    <border>
      <left/>
      <right style="thin">
        <color rgb="FFD0D0D0"/>
      </right>
      <top style="thin">
        <color rgb="FFD0D0D0"/>
      </top>
      <bottom style="thin">
        <color rgb="FFD0D0D0"/>
      </bottom>
      <diagonal/>
    </border>
    <border>
      <left/>
      <right/>
      <top/>
      <bottom style="thin">
        <color rgb="FF137B79"/>
      </bottom>
      <diagonal/>
    </border>
    <border>
      <left/>
      <right/>
      <top/>
      <bottom style="thin">
        <color rgb="FF137B79"/>
      </bottom>
      <diagonal/>
    </border>
  </borders>
  <cellStyleXfs count="1">
    <xf numFmtId="0" fontId="0" fillId="0" borderId="0"/>
  </cellStyleXfs>
  <cellXfs count="125">
    <xf numFmtId="0" fontId="0" fillId="0" borderId="0" xfId="0"/>
    <xf numFmtId="0" fontId="3" fillId="4" borderId="0" xfId="0" applyFont="1" applyFill="1" applyAlignment="1">
      <alignment vertical="center" wrapText="1" readingOrder="2"/>
    </xf>
    <xf numFmtId="0" fontId="3" fillId="4" borderId="0" xfId="0" applyFont="1" applyFill="1" applyAlignment="1">
      <alignment horizontal="center" vertical="center" wrapText="1" readingOrder="2"/>
    </xf>
    <xf numFmtId="0" fontId="5" fillId="3" borderId="0" xfId="0" applyFont="1" applyFill="1" applyAlignment="1">
      <alignment horizontal="center" vertical="center" wrapText="1" readingOrder="2"/>
    </xf>
    <xf numFmtId="0" fontId="6" fillId="3" borderId="0" xfId="0" applyFont="1" applyFill="1" applyAlignment="1">
      <alignment horizontal="center" vertical="center" wrapText="1" readingOrder="2"/>
    </xf>
    <xf numFmtId="0" fontId="3" fillId="4" borderId="2" xfId="0" applyFont="1" applyFill="1" applyBorder="1" applyAlignment="1">
      <alignment horizontal="center" vertical="center" wrapText="1" readingOrder="2"/>
    </xf>
    <xf numFmtId="0" fontId="4" fillId="0" borderId="2" xfId="0" applyFont="1" applyBorder="1" applyAlignment="1">
      <alignment horizontal="center" vertical="center" readingOrder="2"/>
    </xf>
    <xf numFmtId="0" fontId="4" fillId="0" borderId="2" xfId="0" applyFont="1" applyBorder="1" applyAlignment="1">
      <alignment horizontal="right" vertical="center" wrapText="1" readingOrder="2"/>
    </xf>
    <xf numFmtId="0" fontId="4" fillId="6" borderId="2" xfId="0" applyFont="1" applyFill="1" applyBorder="1" applyAlignment="1">
      <alignment horizontal="center" vertical="center" wrapText="1" readingOrder="2"/>
    </xf>
    <xf numFmtId="0" fontId="4" fillId="0" borderId="2" xfId="0" applyFont="1" applyBorder="1" applyAlignment="1">
      <alignment horizontal="center" vertical="center" wrapText="1" readingOrder="2"/>
    </xf>
    <xf numFmtId="164" fontId="4" fillId="0" borderId="2" xfId="0" applyNumberFormat="1" applyFont="1" applyBorder="1" applyAlignment="1">
      <alignment horizontal="center" vertical="center" readingOrder="2"/>
    </xf>
    <xf numFmtId="0" fontId="4" fillId="6" borderId="2" xfId="0" applyFont="1" applyFill="1" applyBorder="1" applyAlignment="1">
      <alignment horizontal="center" vertical="center" readingOrder="2"/>
    </xf>
    <xf numFmtId="164" fontId="4" fillId="6" borderId="2" xfId="0" applyNumberFormat="1" applyFont="1" applyFill="1" applyBorder="1" applyAlignment="1">
      <alignment horizontal="center" vertical="center" readingOrder="2"/>
    </xf>
    <xf numFmtId="164" fontId="7" fillId="3" borderId="0" xfId="0" applyNumberFormat="1" applyFont="1" applyFill="1" applyAlignment="1">
      <alignment horizontal="center" vertical="center" readingOrder="2"/>
    </xf>
    <xf numFmtId="0" fontId="7" fillId="3" borderId="0" xfId="0" applyFont="1" applyFill="1" applyAlignment="1">
      <alignment horizontal="center" vertical="center" readingOrder="2"/>
    </xf>
    <xf numFmtId="0" fontId="4" fillId="0" borderId="0" xfId="0" applyFont="1" applyAlignment="1">
      <alignment horizontal="right" vertical="center" wrapText="1" readingOrder="2"/>
    </xf>
    <xf numFmtId="0" fontId="4" fillId="0" borderId="0" xfId="0" applyFont="1" applyAlignment="1">
      <alignment horizontal="center" vertical="center" wrapText="1" readingOrder="2"/>
    </xf>
    <xf numFmtId="164" fontId="6" fillId="3" borderId="0" xfId="0" applyNumberFormat="1" applyFont="1" applyFill="1" applyAlignment="1">
      <alignment horizontal="center" vertical="center" readingOrder="2"/>
    </xf>
    <xf numFmtId="0" fontId="6" fillId="3" borderId="0" xfId="0" applyFont="1" applyFill="1" applyAlignment="1">
      <alignment horizontal="center" vertical="center" readingOrder="2"/>
    </xf>
    <xf numFmtId="0" fontId="4" fillId="0" borderId="4" xfId="0" applyFont="1" applyBorder="1" applyAlignment="1">
      <alignment horizontal="center" vertical="top" readingOrder="2"/>
    </xf>
    <xf numFmtId="0" fontId="4" fillId="0" borderId="4" xfId="0" applyFont="1" applyBorder="1" applyAlignment="1">
      <alignment horizontal="right" vertical="top" wrapText="1" readingOrder="2"/>
    </xf>
    <xf numFmtId="0" fontId="25" fillId="17" borderId="17" xfId="0" applyFont="1" applyFill="1" applyBorder="1" applyAlignment="1">
      <alignment horizontal="center" vertical="center" wrapText="1" readingOrder="2"/>
    </xf>
    <xf numFmtId="0" fontId="26" fillId="0" borderId="17" xfId="0" applyFont="1" applyBorder="1" applyAlignment="1">
      <alignment horizontal="center" vertical="center" wrapText="1" readingOrder="2"/>
    </xf>
    <xf numFmtId="0" fontId="10" fillId="17" borderId="17" xfId="0" applyFont="1" applyFill="1" applyBorder="1" applyAlignment="1">
      <alignment horizontal="center" vertical="center" wrapText="1" readingOrder="2"/>
    </xf>
    <xf numFmtId="0" fontId="28" fillId="0" borderId="17" xfId="0" applyFont="1" applyBorder="1" applyAlignment="1">
      <alignment horizontal="center" vertical="center" wrapText="1" readingOrder="2"/>
    </xf>
    <xf numFmtId="0" fontId="10" fillId="0" borderId="17" xfId="0" applyFont="1" applyBorder="1" applyAlignment="1">
      <alignment horizontal="center" vertical="center" wrapText="1" readingOrder="2"/>
    </xf>
    <xf numFmtId="0" fontId="10" fillId="0" borderId="17" xfId="0" applyFont="1" applyBorder="1" applyAlignment="1">
      <alignment horizontal="right" vertical="center" wrapText="1" readingOrder="2"/>
    </xf>
    <xf numFmtId="3" fontId="10" fillId="0" borderId="17" xfId="0" applyNumberFormat="1" applyFont="1" applyBorder="1" applyAlignment="1">
      <alignment horizontal="center" vertical="center" wrapText="1" readingOrder="2"/>
    </xf>
    <xf numFmtId="165" fontId="10" fillId="18" borderId="17" xfId="0" applyNumberFormat="1" applyFont="1" applyFill="1" applyBorder="1" applyAlignment="1">
      <alignment horizontal="center" vertical="center" wrapText="1" readingOrder="2"/>
    </xf>
    <xf numFmtId="49" fontId="10" fillId="0" borderId="17" xfId="0" applyNumberFormat="1" applyFont="1" applyBorder="1" applyAlignment="1">
      <alignment horizontal="center" vertical="center" wrapText="1" readingOrder="2"/>
    </xf>
    <xf numFmtId="0" fontId="29" fillId="19" borderId="17" xfId="0" applyFont="1" applyFill="1" applyBorder="1" applyAlignment="1">
      <alignment horizontal="center" vertical="center" wrapText="1" readingOrder="2"/>
    </xf>
    <xf numFmtId="3" fontId="29" fillId="19" borderId="17" xfId="0" applyNumberFormat="1" applyFont="1" applyFill="1" applyBorder="1" applyAlignment="1">
      <alignment horizontal="center" vertical="center" wrapText="1" readingOrder="2"/>
    </xf>
    <xf numFmtId="165" fontId="29" fillId="19" borderId="17" xfId="0" applyNumberFormat="1" applyFont="1" applyFill="1" applyBorder="1" applyAlignment="1">
      <alignment horizontal="center" vertical="center" wrapText="1" readingOrder="2"/>
    </xf>
    <xf numFmtId="0" fontId="30" fillId="20" borderId="17" xfId="0" applyFont="1" applyFill="1" applyBorder="1" applyAlignment="1">
      <alignment horizontal="center" vertical="center" wrapText="1" readingOrder="2"/>
    </xf>
    <xf numFmtId="3" fontId="30" fillId="20" borderId="17" xfId="0" applyNumberFormat="1" applyFont="1" applyFill="1" applyBorder="1" applyAlignment="1">
      <alignment horizontal="center" vertical="center" wrapText="1" readingOrder="2"/>
    </xf>
    <xf numFmtId="165" fontId="30" fillId="20" borderId="17" xfId="0" applyNumberFormat="1" applyFont="1" applyFill="1" applyBorder="1" applyAlignment="1">
      <alignment horizontal="center" vertical="center" wrapText="1" readingOrder="2"/>
    </xf>
    <xf numFmtId="0" fontId="30" fillId="16" borderId="17" xfId="0" applyFont="1" applyFill="1" applyBorder="1" applyAlignment="1">
      <alignment horizontal="center" vertical="center" wrapText="1" readingOrder="2"/>
    </xf>
    <xf numFmtId="3" fontId="30" fillId="16" borderId="17" xfId="0" applyNumberFormat="1" applyFont="1" applyFill="1" applyBorder="1" applyAlignment="1">
      <alignment horizontal="center" vertical="center" wrapText="1" readingOrder="2"/>
    </xf>
    <xf numFmtId="165" fontId="30" fillId="16" borderId="17" xfId="0" applyNumberFormat="1" applyFont="1" applyFill="1" applyBorder="1" applyAlignment="1">
      <alignment horizontal="center" vertical="center" wrapText="1" readingOrder="2"/>
    </xf>
    <xf numFmtId="0" fontId="13" fillId="9" borderId="7" xfId="0" applyFont="1" applyFill="1" applyBorder="1"/>
    <xf numFmtId="0" fontId="14" fillId="10" borderId="8" xfId="0" applyFont="1" applyFill="1" applyBorder="1" applyAlignment="1">
      <alignment horizontal="center" vertical="center" wrapText="1"/>
    </xf>
    <xf numFmtId="0" fontId="15" fillId="10" borderId="8" xfId="0" applyFont="1" applyFill="1" applyBorder="1" applyAlignment="1">
      <alignment horizontal="center" vertical="center"/>
    </xf>
    <xf numFmtId="0" fontId="15" fillId="10" borderId="8" xfId="0" applyFont="1" applyFill="1" applyBorder="1" applyAlignment="1">
      <alignment horizontal="center" vertical="center" wrapText="1"/>
    </xf>
    <xf numFmtId="0" fontId="14" fillId="0" borderId="9" xfId="0" applyFont="1" applyBorder="1" applyAlignment="1">
      <alignment horizontal="center" vertical="center" wrapText="1"/>
    </xf>
    <xf numFmtId="0" fontId="16" fillId="0" borderId="9" xfId="0" applyFont="1" applyBorder="1" applyAlignment="1">
      <alignment horizontal="center"/>
    </xf>
    <xf numFmtId="0" fontId="16" fillId="0" borderId="8" xfId="0" applyFont="1" applyBorder="1" applyAlignment="1">
      <alignment horizontal="center"/>
    </xf>
    <xf numFmtId="0" fontId="17" fillId="0" borderId="10" xfId="0" applyFont="1" applyBorder="1" applyAlignment="1">
      <alignment horizontal="center" vertical="center" wrapText="1" readingOrder="2"/>
    </xf>
    <xf numFmtId="0" fontId="18" fillId="0" borderId="10" xfId="0" applyFont="1" applyBorder="1" applyAlignment="1">
      <alignment horizontal="right" vertical="center" wrapText="1" readingOrder="2"/>
    </xf>
    <xf numFmtId="165" fontId="19" fillId="0" borderId="10" xfId="0" applyNumberFormat="1" applyFont="1" applyBorder="1" applyAlignment="1">
      <alignment horizontal="center" vertical="center" wrapText="1" readingOrder="2"/>
    </xf>
    <xf numFmtId="165" fontId="19" fillId="11" borderId="10" xfId="0" applyNumberFormat="1" applyFont="1" applyFill="1" applyBorder="1" applyAlignment="1">
      <alignment horizontal="center" vertical="center" wrapText="1" readingOrder="2"/>
    </xf>
    <xf numFmtId="0" fontId="19" fillId="11" borderId="10" xfId="0" applyFont="1" applyFill="1" applyBorder="1" applyAlignment="1">
      <alignment horizontal="center" vertical="center" wrapText="1" readingOrder="2"/>
    </xf>
    <xf numFmtId="0" fontId="19" fillId="0" borderId="10" xfId="0" applyFont="1" applyBorder="1" applyAlignment="1">
      <alignment horizontal="right" vertical="center" wrapText="1" readingOrder="2"/>
    </xf>
    <xf numFmtId="0" fontId="13" fillId="0" borderId="10" xfId="0" applyFont="1" applyBorder="1"/>
    <xf numFmtId="165" fontId="21" fillId="12" borderId="10" xfId="0" applyNumberFormat="1" applyFont="1" applyFill="1" applyBorder="1" applyAlignment="1">
      <alignment horizontal="center" vertical="center" wrapText="1" readingOrder="2"/>
    </xf>
    <xf numFmtId="0" fontId="13" fillId="13" borderId="5" xfId="0" applyFont="1" applyFill="1" applyBorder="1"/>
    <xf numFmtId="166" fontId="19" fillId="0" borderId="10" xfId="0" applyNumberFormat="1" applyFont="1" applyBorder="1" applyAlignment="1">
      <alignment horizontal="center" vertical="center" wrapText="1" readingOrder="2"/>
    </xf>
    <xf numFmtId="0" fontId="22" fillId="14" borderId="11" xfId="0" applyFont="1" applyFill="1" applyBorder="1" applyAlignment="1">
      <alignment vertical="center" wrapText="1"/>
    </xf>
    <xf numFmtId="0" fontId="17" fillId="0" borderId="0" xfId="0" applyFont="1" applyAlignment="1">
      <alignment horizontal="center" vertical="center" wrapText="1" readingOrder="2"/>
    </xf>
    <xf numFmtId="0" fontId="18" fillId="0" borderId="0" xfId="0" applyFont="1" applyAlignment="1">
      <alignment horizontal="right" vertical="center" wrapText="1" readingOrder="2"/>
    </xf>
    <xf numFmtId="166" fontId="19" fillId="0" borderId="0" xfId="0" applyNumberFormat="1" applyFont="1" applyAlignment="1">
      <alignment horizontal="center" vertical="center" wrapText="1" readingOrder="2"/>
    </xf>
    <xf numFmtId="0" fontId="19" fillId="0" borderId="0" xfId="0" applyFont="1" applyAlignment="1">
      <alignment horizontal="right" vertical="center" wrapText="1" readingOrder="2"/>
    </xf>
    <xf numFmtId="0" fontId="22" fillId="14" borderId="11" xfId="0" applyFont="1" applyFill="1" applyBorder="1" applyAlignment="1">
      <alignment horizontal="right" vertical="center" wrapText="1"/>
    </xf>
    <xf numFmtId="0" fontId="19" fillId="0" borderId="10" xfId="0" applyFont="1" applyBorder="1" applyAlignment="1">
      <alignment horizontal="center" vertical="center" wrapText="1" readingOrder="2"/>
    </xf>
    <xf numFmtId="49" fontId="19" fillId="0" borderId="10" xfId="0" applyNumberFormat="1" applyFont="1" applyBorder="1" applyAlignment="1">
      <alignment horizontal="right" vertical="center" wrapText="1" readingOrder="2"/>
    </xf>
    <xf numFmtId="167" fontId="19" fillId="0" borderId="10" xfId="0" applyNumberFormat="1" applyFont="1" applyBorder="1" applyAlignment="1">
      <alignment horizontal="center" vertical="center" wrapText="1" readingOrder="2"/>
    </xf>
    <xf numFmtId="0" fontId="10" fillId="0" borderId="0" xfId="0" applyFont="1" applyAlignment="1">
      <alignment horizontal="right" vertical="center" wrapText="1" readingOrder="2"/>
    </xf>
    <xf numFmtId="9" fontId="10" fillId="0" borderId="0" xfId="0" applyNumberFormat="1" applyFont="1" applyAlignment="1">
      <alignment horizontal="right" vertical="center" wrapText="1" readingOrder="2"/>
    </xf>
    <xf numFmtId="0" fontId="11" fillId="0" borderId="0" xfId="0" applyFont="1"/>
    <xf numFmtId="0" fontId="32" fillId="0" borderId="17" xfId="0" applyFont="1" applyBorder="1" applyAlignment="1">
      <alignment horizontal="right" vertical="center" wrapText="1" readingOrder="2"/>
    </xf>
    <xf numFmtId="0" fontId="33" fillId="0" borderId="0" xfId="0" applyFont="1" applyAlignment="1">
      <alignment horizontal="right" vertical="top" wrapText="1" readingOrder="2"/>
    </xf>
    <xf numFmtId="0" fontId="25" fillId="17" borderId="17" xfId="0" applyFont="1" applyFill="1" applyBorder="1" applyAlignment="1">
      <alignment horizontal="center" vertical="center" wrapText="1" readingOrder="1"/>
    </xf>
    <xf numFmtId="0" fontId="32" fillId="0" borderId="17" xfId="0" applyFont="1" applyBorder="1" applyAlignment="1">
      <alignment horizontal="left" vertical="center" wrapText="1" readingOrder="1"/>
    </xf>
    <xf numFmtId="0" fontId="33" fillId="0" borderId="0" xfId="0" applyFont="1" applyAlignment="1">
      <alignment horizontal="left" vertical="top" wrapText="1" readingOrder="1"/>
    </xf>
    <xf numFmtId="3" fontId="19" fillId="18" borderId="10" xfId="0" applyNumberFormat="1" applyFont="1" applyFill="1" applyBorder="1" applyAlignment="1">
      <alignment horizontal="center" vertical="center" wrapText="1" readingOrder="2"/>
    </xf>
    <xf numFmtId="0" fontId="23" fillId="15" borderId="17" xfId="0" applyFont="1" applyFill="1" applyBorder="1" applyAlignment="1">
      <alignment horizontal="center" vertical="center" wrapText="1" readingOrder="2"/>
    </xf>
    <xf numFmtId="0" fontId="0" fillId="0" borderId="18" xfId="0" applyBorder="1"/>
    <xf numFmtId="0" fontId="0" fillId="0" borderId="19" xfId="0" applyBorder="1"/>
    <xf numFmtId="0" fontId="29" fillId="19" borderId="17" xfId="0" applyFont="1" applyFill="1" applyBorder="1" applyAlignment="1">
      <alignment horizontal="center" vertical="center" wrapText="1" readingOrder="2"/>
    </xf>
    <xf numFmtId="0" fontId="24" fillId="16" borderId="17" xfId="0" applyFont="1" applyFill="1" applyBorder="1" applyAlignment="1">
      <alignment horizontal="center" vertical="center" wrapText="1" readingOrder="2"/>
    </xf>
    <xf numFmtId="0" fontId="10" fillId="17" borderId="17" xfId="0" applyFont="1" applyFill="1" applyBorder="1" applyAlignment="1">
      <alignment horizontal="center" vertical="center" wrapText="1" readingOrder="2"/>
    </xf>
    <xf numFmtId="0" fontId="30" fillId="16" borderId="17" xfId="0" applyFont="1" applyFill="1" applyBorder="1" applyAlignment="1">
      <alignment horizontal="center" vertical="center" wrapText="1" readingOrder="2"/>
    </xf>
    <xf numFmtId="0" fontId="25" fillId="17" borderId="17" xfId="0" applyFont="1" applyFill="1" applyBorder="1" applyAlignment="1">
      <alignment horizontal="center" vertical="center" wrapText="1" readingOrder="2"/>
    </xf>
    <xf numFmtId="0" fontId="27" fillId="16" borderId="17" xfId="0" applyFont="1" applyFill="1" applyBorder="1" applyAlignment="1">
      <alignment horizontal="center" vertical="center" wrapText="1" readingOrder="2"/>
    </xf>
    <xf numFmtId="0" fontId="26" fillId="0" borderId="17" xfId="0" applyFont="1" applyBorder="1" applyAlignment="1">
      <alignment horizontal="center" vertical="center" wrapText="1" readingOrder="2"/>
    </xf>
    <xf numFmtId="0" fontId="30" fillId="20" borderId="17" xfId="0" applyFont="1" applyFill="1" applyBorder="1" applyAlignment="1">
      <alignment horizontal="center" vertical="center" wrapText="1" readingOrder="2"/>
    </xf>
    <xf numFmtId="0" fontId="11" fillId="0" borderId="17" xfId="0" applyFont="1" applyBorder="1" applyAlignment="1">
      <alignment horizontal="center" vertical="center" wrapText="1" readingOrder="2"/>
    </xf>
    <xf numFmtId="0" fontId="25" fillId="0" borderId="0" xfId="0" applyFont="1" applyAlignment="1">
      <alignment horizontal="right" vertical="top" wrapText="1" readingOrder="2"/>
    </xf>
    <xf numFmtId="0" fontId="0" fillId="0" borderId="0" xfId="0"/>
    <xf numFmtId="0" fontId="26" fillId="0" borderId="0" xfId="0" applyFont="1" applyAlignment="1">
      <alignment horizontal="right" vertical="top" wrapText="1" readingOrder="2"/>
    </xf>
    <xf numFmtId="0" fontId="27" fillId="16" borderId="0" xfId="0" applyFont="1" applyFill="1" applyAlignment="1">
      <alignment horizontal="center" vertical="center" wrapText="1" readingOrder="2"/>
    </xf>
    <xf numFmtId="0" fontId="32" fillId="0" borderId="17" xfId="0" applyFont="1" applyBorder="1" applyAlignment="1">
      <alignment horizontal="right" vertical="center" wrapText="1" readingOrder="2"/>
    </xf>
    <xf numFmtId="0" fontId="35" fillId="0" borderId="20" xfId="0" applyFont="1" applyBorder="1" applyAlignment="1">
      <alignment horizontal="right" vertical="top" wrapText="1" readingOrder="2"/>
    </xf>
    <xf numFmtId="0" fontId="0" fillId="0" borderId="21" xfId="0" applyBorder="1"/>
    <xf numFmtId="0" fontId="23" fillId="15" borderId="0" xfId="0" applyFont="1" applyFill="1" applyAlignment="1">
      <alignment horizontal="center" vertical="center" wrapText="1" readingOrder="2"/>
    </xf>
    <xf numFmtId="0" fontId="31" fillId="16" borderId="0" xfId="0" applyFont="1" applyFill="1" applyAlignment="1">
      <alignment horizontal="center" vertical="center" wrapText="1" readingOrder="2"/>
    </xf>
    <xf numFmtId="0" fontId="34" fillId="0" borderId="0" xfId="0" applyFont="1" applyAlignment="1">
      <alignment horizontal="right" vertical="top" wrapText="1" readingOrder="2"/>
    </xf>
    <xf numFmtId="0" fontId="25" fillId="0" borderId="0" xfId="0" applyFont="1" applyAlignment="1">
      <alignment horizontal="left" vertical="top" wrapText="1" readingOrder="1"/>
    </xf>
    <xf numFmtId="0" fontId="26" fillId="0" borderId="0" xfId="0" applyFont="1" applyAlignment="1">
      <alignment horizontal="left" vertical="top" wrapText="1" readingOrder="1"/>
    </xf>
    <xf numFmtId="0" fontId="27" fillId="16" borderId="0" xfId="0" applyFont="1" applyFill="1" applyAlignment="1">
      <alignment horizontal="center" vertical="center" wrapText="1" readingOrder="1"/>
    </xf>
    <xf numFmtId="0" fontId="32" fillId="0" borderId="17" xfId="0" applyFont="1" applyBorder="1" applyAlignment="1">
      <alignment horizontal="left" vertical="center" wrapText="1" readingOrder="1"/>
    </xf>
    <xf numFmtId="0" fontId="35" fillId="0" borderId="20" xfId="0" applyFont="1" applyBorder="1" applyAlignment="1">
      <alignment horizontal="left" vertical="top" wrapText="1" readingOrder="1"/>
    </xf>
    <xf numFmtId="0" fontId="23" fillId="15" borderId="0" xfId="0" applyFont="1" applyFill="1" applyAlignment="1">
      <alignment horizontal="center" vertical="center" wrapText="1" readingOrder="1"/>
    </xf>
    <xf numFmtId="0" fontId="25" fillId="17" borderId="17" xfId="0" applyFont="1" applyFill="1" applyBorder="1" applyAlignment="1">
      <alignment horizontal="center" vertical="center" wrapText="1" readingOrder="1"/>
    </xf>
    <xf numFmtId="0" fontId="31" fillId="16" borderId="0" xfId="0" applyFont="1" applyFill="1" applyAlignment="1">
      <alignment horizontal="center" vertical="center" wrapText="1" readingOrder="1"/>
    </xf>
    <xf numFmtId="0" fontId="34" fillId="0" borderId="0" xfId="0" applyFont="1" applyAlignment="1">
      <alignment horizontal="left" vertical="top" wrapText="1" readingOrder="1"/>
    </xf>
    <xf numFmtId="0" fontId="6" fillId="3" borderId="0" xfId="0" applyFont="1" applyFill="1" applyAlignment="1">
      <alignment horizontal="center" vertical="center" wrapText="1" readingOrder="2"/>
    </xf>
    <xf numFmtId="0" fontId="1" fillId="2" borderId="0" xfId="0" applyFont="1" applyFill="1" applyAlignment="1">
      <alignment horizontal="center" vertical="center" wrapText="1" readingOrder="2"/>
    </xf>
    <xf numFmtId="0" fontId="4" fillId="5" borderId="1" xfId="0" applyFont="1" applyFill="1" applyBorder="1" applyAlignment="1">
      <alignment horizontal="right" vertical="center" wrapText="1" readingOrder="2"/>
    </xf>
    <xf numFmtId="0" fontId="0" fillId="0" borderId="3" xfId="0" applyBorder="1"/>
    <xf numFmtId="0" fontId="2" fillId="3" borderId="0" xfId="0" applyFont="1" applyFill="1" applyAlignment="1">
      <alignment horizontal="center" vertical="center" wrapText="1" readingOrder="2"/>
    </xf>
    <xf numFmtId="0" fontId="4" fillId="5" borderId="1" xfId="0" applyFont="1" applyFill="1" applyBorder="1" applyAlignment="1">
      <alignment horizontal="center" vertical="center" wrapText="1" readingOrder="2"/>
    </xf>
    <xf numFmtId="0" fontId="5" fillId="3" borderId="0" xfId="0" applyFont="1" applyFill="1" applyAlignment="1">
      <alignment horizontal="center" vertical="center" wrapText="1" readingOrder="2"/>
    </xf>
    <xf numFmtId="0" fontId="3" fillId="4" borderId="0" xfId="0" applyFont="1" applyFill="1" applyAlignment="1">
      <alignment horizontal="center" vertical="center" wrapText="1" readingOrder="2"/>
    </xf>
    <xf numFmtId="0" fontId="7" fillId="3" borderId="0" xfId="0" applyFont="1" applyFill="1" applyAlignment="1">
      <alignment horizontal="center" vertical="center" wrapText="1" readingOrder="2"/>
    </xf>
    <xf numFmtId="0" fontId="8" fillId="7" borderId="5" xfId="0" applyFont="1" applyFill="1" applyBorder="1" applyAlignment="1">
      <alignment horizontal="center" vertical="center" wrapText="1" readingOrder="2"/>
    </xf>
    <xf numFmtId="0" fontId="0" fillId="0" borderId="15" xfId="0" applyBorder="1"/>
    <xf numFmtId="0" fontId="0" fillId="0" borderId="16" xfId="0" applyBorder="1"/>
    <xf numFmtId="0" fontId="9" fillId="8" borderId="5" xfId="0" applyFont="1" applyFill="1" applyBorder="1" applyAlignment="1">
      <alignment horizontal="center" vertical="center" wrapText="1" readingOrder="2"/>
    </xf>
    <xf numFmtId="0" fontId="12" fillId="8" borderId="6" xfId="0" applyFont="1" applyFill="1" applyBorder="1" applyAlignment="1">
      <alignment horizontal="center" vertical="center" wrapText="1" readingOrder="2"/>
    </xf>
    <xf numFmtId="0" fontId="0" fillId="0" borderId="13" xfId="0" applyBorder="1"/>
    <xf numFmtId="0" fontId="0" fillId="0" borderId="14" xfId="0" applyBorder="1"/>
    <xf numFmtId="0" fontId="20" fillId="8" borderId="5" xfId="0" applyFont="1" applyFill="1" applyBorder="1" applyAlignment="1">
      <alignment horizontal="center" vertical="center" wrapText="1" readingOrder="2"/>
    </xf>
    <xf numFmtId="0" fontId="9" fillId="8" borderId="12" xfId="0" applyFont="1" applyFill="1" applyBorder="1" applyAlignment="1">
      <alignment horizontal="center" vertical="center" wrapText="1" readingOrder="2"/>
    </xf>
    <xf numFmtId="0" fontId="0" fillId="0" borderId="12" xfId="0" applyBorder="1"/>
    <xf numFmtId="0" fontId="12" fillId="8" borderId="5" xfId="0" applyFont="1" applyFill="1" applyBorder="1" applyAlignment="1">
      <alignment horizontal="center" vertical="center" wrapText="1" readingOrder="2"/>
    </xf>
  </cellXfs>
  <cellStyles count="1">
    <cellStyle name="Normal" xfId="0" builtinId="0"/>
  </cellStyles>
  <dxfs count="13">
    <dxf>
      <fill>
        <patternFill patternType="solid">
          <fgColor rgb="FFEEF6EA"/>
          <bgColor rgb="FFEEF6EA"/>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border>
        <top style="thin">
          <color rgb="FFD0D0D0"/>
        </top>
      </border>
    </dxf>
    <dxf>
      <border>
        <top style="thin">
          <color rgb="FFD0D0D0"/>
        </top>
      </border>
    </dxf>
    <dxf>
      <border>
        <top style="thin">
          <color rgb="FFD0D0D0"/>
        </top>
      </border>
    </dxf>
    <dxf>
      <border>
        <top style="thin">
          <color rgb="FFD0D0D0"/>
        </top>
      </border>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37B79"/>
      <rgbColor rgb="FFC0C0C0"/>
      <rgbColor rgb="FF808080"/>
      <rgbColor rgb="FF9999FF"/>
      <rgbColor rgb="FF993366"/>
      <rgbColor rgb="FFFFFFCC"/>
      <rgbColor rgb="FFDEFAF9"/>
      <rgbColor rgb="FF660066"/>
      <rgbColor rgb="FFFF8080"/>
      <rgbColor rgb="FF0066CC"/>
      <rgbColor rgb="FFD0D0D0"/>
      <rgbColor rgb="FF000080"/>
      <rgbColor rgb="FFFF00FF"/>
      <rgbColor rgb="FFFFFF00"/>
      <rgbColor rgb="FF00FFFF"/>
      <rgbColor rgb="FF800080"/>
      <rgbColor rgb="FF800000"/>
      <rgbColor rgb="FF008080"/>
      <rgbColor rgb="FF0000FF"/>
      <rgbColor rgb="FF00CCFF"/>
      <rgbColor rgb="FFEBF3FB"/>
      <rgbColor rgb="FFDAF2D0"/>
      <rgbColor rgb="FFFFFF99"/>
      <rgbColor rgb="FF99CCFF"/>
      <rgbColor rgb="FFFF99CC"/>
      <rgbColor rgb="FFCC99FF"/>
      <rgbColor rgb="FFFFCC99"/>
      <rgbColor rgb="FF4472C4"/>
      <rgbColor rgb="FF33CCCC"/>
      <rgbColor rgb="FF99CC00"/>
      <rgbColor rgb="FFFFCC00"/>
      <rgbColor rgb="FFFF9900"/>
      <rgbColor rgb="FFFF6600"/>
      <rgbColor rgb="FF666699"/>
      <rgbColor rgb="FFAAAAAA"/>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F110"/>
  <sheetViews>
    <sheetView showGridLines="0" rightToLeft="1" topLeftCell="A11" workbookViewId="0"/>
  </sheetViews>
  <sheetFormatPr defaultRowHeight="15" x14ac:dyDescent="0.25"/>
  <cols>
    <col min="1" max="1" width="3" customWidth="1"/>
    <col min="2" max="2" width="22" customWidth="1"/>
    <col min="3" max="4" width="30" customWidth="1"/>
    <col min="5" max="5" width="28" customWidth="1"/>
    <col min="6" max="6" width="42" customWidth="1"/>
    <col min="7" max="7" width="3" customWidth="1"/>
  </cols>
  <sheetData>
    <row r="1" spans="2:6" ht="51.95" customHeight="1" x14ac:dyDescent="0.25">
      <c r="B1" s="93" t="s">
        <v>0</v>
      </c>
      <c r="C1" s="87"/>
      <c r="D1" s="87"/>
      <c r="E1" s="87"/>
      <c r="F1" s="87"/>
    </row>
    <row r="2" spans="2:6" ht="36" customHeight="1" x14ac:dyDescent="0.25">
      <c r="B2" s="94" t="s">
        <v>40</v>
      </c>
      <c r="C2" s="87"/>
      <c r="D2" s="87"/>
      <c r="E2" s="87"/>
      <c r="F2" s="87"/>
    </row>
    <row r="3" spans="2:6" ht="14.1" customHeight="1" x14ac:dyDescent="0.25"/>
    <row r="4" spans="2:6" ht="26.65" customHeight="1" x14ac:dyDescent="0.25">
      <c r="B4" s="88" t="s">
        <v>41</v>
      </c>
      <c r="C4" s="87"/>
      <c r="D4" s="87"/>
      <c r="E4" s="87"/>
      <c r="F4" s="87"/>
    </row>
    <row r="5" spans="2:6" ht="82.35" customHeight="1" x14ac:dyDescent="0.25">
      <c r="B5" s="88" t="s">
        <v>42</v>
      </c>
      <c r="C5" s="87"/>
      <c r="D5" s="87"/>
      <c r="E5" s="87"/>
      <c r="F5" s="87"/>
    </row>
    <row r="6" spans="2:6" ht="14.1" customHeight="1" x14ac:dyDescent="0.25"/>
    <row r="7" spans="2:6" ht="29.65" customHeight="1" x14ac:dyDescent="0.25">
      <c r="B7" s="89" t="s">
        <v>43</v>
      </c>
      <c r="C7" s="87"/>
      <c r="D7" s="87"/>
      <c r="E7" s="87"/>
      <c r="F7" s="87"/>
    </row>
    <row r="8" spans="2:6" ht="6" customHeight="1" x14ac:dyDescent="0.25"/>
    <row r="9" spans="2:6" ht="26.65" customHeight="1" x14ac:dyDescent="0.25">
      <c r="B9" s="88" t="s">
        <v>44</v>
      </c>
      <c r="C9" s="87"/>
      <c r="D9" s="87"/>
      <c r="E9" s="87"/>
      <c r="F9" s="87"/>
    </row>
    <row r="10" spans="2:6" ht="30.6" customHeight="1" x14ac:dyDescent="0.25">
      <c r="B10" s="21" t="s">
        <v>45</v>
      </c>
      <c r="C10" s="81" t="s">
        <v>46</v>
      </c>
      <c r="D10" s="75"/>
      <c r="E10" s="76"/>
      <c r="F10" s="21" t="s">
        <v>47</v>
      </c>
    </row>
    <row r="11" spans="2:6" ht="51.95" customHeight="1" x14ac:dyDescent="0.25">
      <c r="B11" s="68" t="s">
        <v>48</v>
      </c>
      <c r="C11" s="90" t="s">
        <v>49</v>
      </c>
      <c r="D11" s="75"/>
      <c r="E11" s="76"/>
      <c r="F11" s="68" t="s">
        <v>50</v>
      </c>
    </row>
    <row r="12" spans="2:6" ht="73.349999999999994" customHeight="1" x14ac:dyDescent="0.25">
      <c r="B12" s="68" t="s">
        <v>51</v>
      </c>
      <c r="C12" s="90" t="s">
        <v>52</v>
      </c>
      <c r="D12" s="75"/>
      <c r="E12" s="76"/>
      <c r="F12" s="68" t="s">
        <v>53</v>
      </c>
    </row>
    <row r="13" spans="2:6" ht="51.95" customHeight="1" x14ac:dyDescent="0.25">
      <c r="B13" s="68" t="s">
        <v>54</v>
      </c>
      <c r="C13" s="90" t="s">
        <v>55</v>
      </c>
      <c r="D13" s="75"/>
      <c r="E13" s="76"/>
      <c r="F13" s="68" t="s">
        <v>56</v>
      </c>
    </row>
    <row r="14" spans="2:6" ht="30.6" customHeight="1" x14ac:dyDescent="0.25">
      <c r="B14" s="68" t="s">
        <v>57</v>
      </c>
      <c r="C14" s="90" t="s">
        <v>58</v>
      </c>
      <c r="D14" s="75"/>
      <c r="E14" s="76"/>
      <c r="F14" s="68" t="s">
        <v>59</v>
      </c>
    </row>
    <row r="15" spans="2:6" ht="6" customHeight="1" x14ac:dyDescent="0.25"/>
    <row r="16" spans="2:6" ht="82.35" customHeight="1" x14ac:dyDescent="0.25">
      <c r="B16" s="69" t="s">
        <v>60</v>
      </c>
      <c r="C16" s="88" t="s">
        <v>61</v>
      </c>
      <c r="D16" s="87"/>
      <c r="E16" s="87"/>
      <c r="F16" s="87"/>
    </row>
    <row r="17" spans="2:6" ht="45.2" customHeight="1" x14ac:dyDescent="0.25">
      <c r="B17" s="69" t="s">
        <v>62</v>
      </c>
      <c r="C17" s="88" t="s">
        <v>63</v>
      </c>
      <c r="D17" s="87"/>
      <c r="E17" s="87"/>
      <c r="F17" s="87"/>
    </row>
    <row r="18" spans="2:6" ht="14.1" customHeight="1" x14ac:dyDescent="0.25"/>
    <row r="19" spans="2:6" ht="29.65" customHeight="1" x14ac:dyDescent="0.25">
      <c r="B19" s="89" t="s">
        <v>64</v>
      </c>
      <c r="C19" s="87"/>
      <c r="D19" s="87"/>
      <c r="E19" s="87"/>
      <c r="F19" s="87"/>
    </row>
    <row r="20" spans="2:6" ht="6" customHeight="1" x14ac:dyDescent="0.25"/>
    <row r="21" spans="2:6" ht="26.65" customHeight="1" x14ac:dyDescent="0.25">
      <c r="B21" s="69" t="s">
        <v>65</v>
      </c>
      <c r="C21" s="88" t="s">
        <v>66</v>
      </c>
      <c r="D21" s="87"/>
      <c r="E21" s="87"/>
      <c r="F21" s="87"/>
    </row>
    <row r="22" spans="2:6" ht="45.2" customHeight="1" x14ac:dyDescent="0.25">
      <c r="B22" s="69" t="s">
        <v>67</v>
      </c>
      <c r="C22" s="88" t="s">
        <v>68</v>
      </c>
      <c r="D22" s="87"/>
      <c r="E22" s="87"/>
      <c r="F22" s="87"/>
    </row>
    <row r="23" spans="2:6" ht="45.2" customHeight="1" x14ac:dyDescent="0.25">
      <c r="B23" s="69" t="s">
        <v>69</v>
      </c>
      <c r="C23" s="88" t="s">
        <v>70</v>
      </c>
      <c r="D23" s="87"/>
      <c r="E23" s="87"/>
      <c r="F23" s="87"/>
    </row>
    <row r="24" spans="2:6" ht="45.2" customHeight="1" x14ac:dyDescent="0.25">
      <c r="B24" s="69" t="s">
        <v>71</v>
      </c>
      <c r="C24" s="88" t="s">
        <v>72</v>
      </c>
      <c r="D24" s="87"/>
      <c r="E24" s="87"/>
      <c r="F24" s="87"/>
    </row>
    <row r="25" spans="2:6" ht="14.1" customHeight="1" x14ac:dyDescent="0.25"/>
    <row r="26" spans="2:6" ht="29.65" customHeight="1" x14ac:dyDescent="0.25">
      <c r="B26" s="89" t="s">
        <v>73</v>
      </c>
      <c r="C26" s="87"/>
      <c r="D26" s="87"/>
      <c r="E26" s="87"/>
      <c r="F26" s="87"/>
    </row>
    <row r="27" spans="2:6" ht="6" customHeight="1" x14ac:dyDescent="0.25"/>
    <row r="28" spans="2:6" ht="45.2" customHeight="1" x14ac:dyDescent="0.25">
      <c r="B28" s="88" t="s">
        <v>74</v>
      </c>
      <c r="C28" s="87"/>
      <c r="D28" s="87"/>
      <c r="E28" s="87"/>
      <c r="F28" s="87"/>
    </row>
    <row r="29" spans="2:6" ht="30.6" customHeight="1" x14ac:dyDescent="0.25">
      <c r="B29" s="21" t="s">
        <v>75</v>
      </c>
      <c r="C29" s="21" t="s">
        <v>76</v>
      </c>
      <c r="D29" s="81" t="s">
        <v>77</v>
      </c>
      <c r="E29" s="76"/>
      <c r="F29" s="21" t="s">
        <v>78</v>
      </c>
    </row>
    <row r="30" spans="2:6" ht="73.349999999999994" customHeight="1" x14ac:dyDescent="0.25">
      <c r="B30" s="68" t="s">
        <v>79</v>
      </c>
      <c r="C30" s="68" t="s">
        <v>80</v>
      </c>
      <c r="D30" s="90" t="s">
        <v>81</v>
      </c>
      <c r="E30" s="76"/>
      <c r="F30" s="68" t="s">
        <v>82</v>
      </c>
    </row>
    <row r="31" spans="2:6" ht="51.95" customHeight="1" x14ac:dyDescent="0.25">
      <c r="B31" s="68" t="s">
        <v>83</v>
      </c>
      <c r="C31" s="68" t="s">
        <v>84</v>
      </c>
      <c r="D31" s="90" t="s">
        <v>85</v>
      </c>
      <c r="E31" s="76"/>
      <c r="F31" s="68" t="s">
        <v>86</v>
      </c>
    </row>
    <row r="32" spans="2:6" ht="73.349999999999994" customHeight="1" x14ac:dyDescent="0.25">
      <c r="B32" s="68" t="s">
        <v>87</v>
      </c>
      <c r="C32" s="68" t="s">
        <v>88</v>
      </c>
      <c r="D32" s="90" t="s">
        <v>89</v>
      </c>
      <c r="E32" s="76"/>
      <c r="F32" s="68" t="s">
        <v>90</v>
      </c>
    </row>
    <row r="33" spans="2:6" ht="73.349999999999994" customHeight="1" x14ac:dyDescent="0.25">
      <c r="B33" s="68" t="s">
        <v>91</v>
      </c>
      <c r="C33" s="68" t="s">
        <v>92</v>
      </c>
      <c r="D33" s="90" t="s">
        <v>93</v>
      </c>
      <c r="E33" s="76"/>
      <c r="F33" s="68" t="s">
        <v>94</v>
      </c>
    </row>
    <row r="34" spans="2:6" ht="45.2" customHeight="1" x14ac:dyDescent="0.25">
      <c r="B34" s="88" t="s">
        <v>95</v>
      </c>
      <c r="C34" s="87"/>
      <c r="D34" s="87"/>
      <c r="E34" s="87"/>
      <c r="F34" s="87"/>
    </row>
    <row r="35" spans="2:6" ht="6" customHeight="1" x14ac:dyDescent="0.25"/>
    <row r="36" spans="2:6" ht="63.75" customHeight="1" x14ac:dyDescent="0.25">
      <c r="B36" s="69" t="s">
        <v>96</v>
      </c>
      <c r="C36" s="88" t="s">
        <v>97</v>
      </c>
      <c r="D36" s="87"/>
      <c r="E36" s="87"/>
      <c r="F36" s="87"/>
    </row>
    <row r="37" spans="2:6" ht="45.2" customHeight="1" x14ac:dyDescent="0.25">
      <c r="B37" s="69" t="s">
        <v>98</v>
      </c>
      <c r="C37" s="88" t="s">
        <v>99</v>
      </c>
      <c r="D37" s="87"/>
      <c r="E37" s="87"/>
      <c r="F37" s="87"/>
    </row>
    <row r="38" spans="2:6" ht="14.1" customHeight="1" x14ac:dyDescent="0.25"/>
    <row r="39" spans="2:6" ht="29.65" customHeight="1" x14ac:dyDescent="0.25">
      <c r="B39" s="89" t="s">
        <v>100</v>
      </c>
      <c r="C39" s="87"/>
      <c r="D39" s="87"/>
      <c r="E39" s="87"/>
      <c r="F39" s="87"/>
    </row>
    <row r="40" spans="2:6" ht="6" customHeight="1" x14ac:dyDescent="0.25"/>
    <row r="41" spans="2:6" ht="45.2" customHeight="1" x14ac:dyDescent="0.25">
      <c r="B41" s="69" t="s">
        <v>101</v>
      </c>
      <c r="C41" s="88" t="s">
        <v>102</v>
      </c>
      <c r="D41" s="87"/>
      <c r="E41" s="87"/>
      <c r="F41" s="87"/>
    </row>
    <row r="42" spans="2:6" ht="45.2" customHeight="1" x14ac:dyDescent="0.25">
      <c r="B42" s="69" t="s">
        <v>103</v>
      </c>
      <c r="C42" s="88" t="s">
        <v>104</v>
      </c>
      <c r="D42" s="87"/>
      <c r="E42" s="87"/>
      <c r="F42" s="87"/>
    </row>
    <row r="43" spans="2:6" ht="82.35" customHeight="1" x14ac:dyDescent="0.25">
      <c r="B43" s="69" t="s">
        <v>105</v>
      </c>
      <c r="C43" s="88" t="s">
        <v>106</v>
      </c>
      <c r="D43" s="87"/>
      <c r="E43" s="87"/>
      <c r="F43" s="87"/>
    </row>
    <row r="44" spans="2:6" ht="45.2" customHeight="1" x14ac:dyDescent="0.25">
      <c r="B44" s="69" t="s">
        <v>107</v>
      </c>
      <c r="C44" s="88" t="s">
        <v>108</v>
      </c>
      <c r="D44" s="87"/>
      <c r="E44" s="87"/>
      <c r="F44" s="87"/>
    </row>
    <row r="45" spans="2:6" ht="63.75" customHeight="1" x14ac:dyDescent="0.25">
      <c r="B45" s="69" t="s">
        <v>109</v>
      </c>
      <c r="C45" s="88" t="s">
        <v>110</v>
      </c>
      <c r="D45" s="87"/>
      <c r="E45" s="87"/>
      <c r="F45" s="87"/>
    </row>
    <row r="46" spans="2:6" ht="45.2" customHeight="1" x14ac:dyDescent="0.25">
      <c r="B46" s="69" t="s">
        <v>111</v>
      </c>
      <c r="C46" s="88" t="s">
        <v>112</v>
      </c>
      <c r="D46" s="87"/>
      <c r="E46" s="87"/>
      <c r="F46" s="87"/>
    </row>
    <row r="47" spans="2:6" ht="63.75" customHeight="1" x14ac:dyDescent="0.25">
      <c r="B47" s="69" t="s">
        <v>113</v>
      </c>
      <c r="C47" s="88" t="s">
        <v>114</v>
      </c>
      <c r="D47" s="87"/>
      <c r="E47" s="87"/>
      <c r="F47" s="87"/>
    </row>
    <row r="48" spans="2:6" ht="30.6" customHeight="1" x14ac:dyDescent="0.25">
      <c r="B48" s="21" t="s">
        <v>115</v>
      </c>
      <c r="C48" s="21" t="s">
        <v>116</v>
      </c>
      <c r="D48" s="21" t="s">
        <v>117</v>
      </c>
      <c r="E48" s="81" t="s">
        <v>118</v>
      </c>
      <c r="F48" s="76"/>
    </row>
    <row r="49" spans="2:6" ht="51.95" customHeight="1" x14ac:dyDescent="0.25">
      <c r="B49" s="68" t="s">
        <v>119</v>
      </c>
      <c r="C49" s="68" t="s">
        <v>120</v>
      </c>
      <c r="D49" s="68" t="s">
        <v>121</v>
      </c>
      <c r="E49" s="90" t="s">
        <v>122</v>
      </c>
      <c r="F49" s="76"/>
    </row>
    <row r="50" spans="2:6" ht="51.95" customHeight="1" x14ac:dyDescent="0.25">
      <c r="B50" s="68" t="s">
        <v>123</v>
      </c>
      <c r="C50" s="68" t="s">
        <v>124</v>
      </c>
      <c r="D50" s="68" t="s">
        <v>125</v>
      </c>
      <c r="E50" s="90" t="s">
        <v>126</v>
      </c>
      <c r="F50" s="76"/>
    </row>
    <row r="51" spans="2:6" ht="30.6" customHeight="1" x14ac:dyDescent="0.25">
      <c r="B51" s="68" t="s">
        <v>127</v>
      </c>
      <c r="C51" s="68" t="s">
        <v>128</v>
      </c>
      <c r="D51" s="68" t="s">
        <v>129</v>
      </c>
      <c r="E51" s="90" t="s">
        <v>130</v>
      </c>
      <c r="F51" s="76"/>
    </row>
    <row r="52" spans="2:6" ht="51.95" customHeight="1" x14ac:dyDescent="0.25">
      <c r="B52" s="68" t="s">
        <v>131</v>
      </c>
      <c r="C52" s="68" t="s">
        <v>132</v>
      </c>
      <c r="D52" s="68" t="s">
        <v>133</v>
      </c>
      <c r="E52" s="90" t="s">
        <v>134</v>
      </c>
      <c r="F52" s="76"/>
    </row>
    <row r="53" spans="2:6" ht="43.7" customHeight="1" x14ac:dyDescent="0.25">
      <c r="B53" s="95" t="s">
        <v>135</v>
      </c>
      <c r="C53" s="87"/>
      <c r="D53" s="87"/>
      <c r="E53" s="87"/>
      <c r="F53" s="87"/>
    </row>
    <row r="54" spans="2:6" ht="82.35" customHeight="1" x14ac:dyDescent="0.25">
      <c r="B54" s="69" t="s">
        <v>136</v>
      </c>
      <c r="C54" s="88" t="s">
        <v>137</v>
      </c>
      <c r="D54" s="87"/>
      <c r="E54" s="87"/>
      <c r="F54" s="87"/>
    </row>
    <row r="55" spans="2:6" ht="82.35" customHeight="1" x14ac:dyDescent="0.25">
      <c r="B55" s="69" t="s">
        <v>138</v>
      </c>
      <c r="C55" s="88" t="s">
        <v>139</v>
      </c>
      <c r="D55" s="87"/>
      <c r="E55" s="87"/>
      <c r="F55" s="87"/>
    </row>
    <row r="56" spans="2:6" ht="45.2" customHeight="1" x14ac:dyDescent="0.25">
      <c r="B56" s="69" t="s">
        <v>140</v>
      </c>
      <c r="C56" s="88" t="s">
        <v>141</v>
      </c>
      <c r="D56" s="87"/>
      <c r="E56" s="87"/>
      <c r="F56" s="87"/>
    </row>
    <row r="57" spans="2:6" ht="45.2" customHeight="1" x14ac:dyDescent="0.25">
      <c r="B57" s="69" t="s">
        <v>142</v>
      </c>
      <c r="C57" s="88" t="s">
        <v>143</v>
      </c>
      <c r="D57" s="87"/>
      <c r="E57" s="87"/>
      <c r="F57" s="87"/>
    </row>
    <row r="58" spans="2:6" ht="14.1" customHeight="1" x14ac:dyDescent="0.25"/>
    <row r="59" spans="2:6" ht="29.65" customHeight="1" x14ac:dyDescent="0.25">
      <c r="B59" s="89" t="s">
        <v>144</v>
      </c>
      <c r="C59" s="87"/>
      <c r="D59" s="87"/>
      <c r="E59" s="87"/>
      <c r="F59" s="87"/>
    </row>
    <row r="60" spans="2:6" ht="6" customHeight="1" x14ac:dyDescent="0.25"/>
    <row r="61" spans="2:6" ht="26.65" customHeight="1" x14ac:dyDescent="0.25">
      <c r="B61" s="69" t="s">
        <v>145</v>
      </c>
      <c r="C61" s="88" t="s">
        <v>146</v>
      </c>
      <c r="D61" s="87"/>
      <c r="E61" s="87"/>
      <c r="F61" s="87"/>
    </row>
    <row r="62" spans="2:6" ht="45.2" customHeight="1" x14ac:dyDescent="0.25">
      <c r="B62" s="69" t="s">
        <v>147</v>
      </c>
      <c r="C62" s="88" t="s">
        <v>148</v>
      </c>
      <c r="D62" s="87"/>
      <c r="E62" s="87"/>
      <c r="F62" s="87"/>
    </row>
    <row r="63" spans="2:6" ht="45.2" customHeight="1" x14ac:dyDescent="0.25">
      <c r="B63" s="69" t="s">
        <v>149</v>
      </c>
      <c r="C63" s="88" t="s">
        <v>150</v>
      </c>
      <c r="D63" s="87"/>
      <c r="E63" s="87"/>
      <c r="F63" s="87"/>
    </row>
    <row r="64" spans="2:6" ht="26.65" customHeight="1" x14ac:dyDescent="0.25">
      <c r="B64" s="69" t="s">
        <v>151</v>
      </c>
      <c r="C64" s="88" t="s">
        <v>152</v>
      </c>
      <c r="D64" s="87"/>
      <c r="E64" s="87"/>
      <c r="F64" s="87"/>
    </row>
    <row r="65" spans="2:6" ht="45.2" customHeight="1" x14ac:dyDescent="0.25">
      <c r="B65" s="69" t="s">
        <v>153</v>
      </c>
      <c r="C65" s="88" t="s">
        <v>154</v>
      </c>
      <c r="D65" s="87"/>
      <c r="E65" s="87"/>
      <c r="F65" s="87"/>
    </row>
    <row r="66" spans="2:6" ht="14.1" customHeight="1" x14ac:dyDescent="0.25"/>
    <row r="67" spans="2:6" ht="29.65" customHeight="1" x14ac:dyDescent="0.25">
      <c r="B67" s="89" t="s">
        <v>155</v>
      </c>
      <c r="C67" s="87"/>
      <c r="D67" s="87"/>
      <c r="E67" s="87"/>
      <c r="F67" s="87"/>
    </row>
    <row r="68" spans="2:6" ht="6" customHeight="1" x14ac:dyDescent="0.25"/>
    <row r="69" spans="2:6" ht="82.35" customHeight="1" x14ac:dyDescent="0.25">
      <c r="B69" s="69" t="s">
        <v>156</v>
      </c>
      <c r="C69" s="88" t="s">
        <v>157</v>
      </c>
      <c r="D69" s="87"/>
      <c r="E69" s="87"/>
      <c r="F69" s="87"/>
    </row>
    <row r="70" spans="2:6" ht="45.2" customHeight="1" x14ac:dyDescent="0.25">
      <c r="B70" s="69" t="s">
        <v>158</v>
      </c>
      <c r="C70" s="88" t="s">
        <v>159</v>
      </c>
      <c r="D70" s="87"/>
      <c r="E70" s="87"/>
      <c r="F70" s="87"/>
    </row>
    <row r="71" spans="2:6" ht="63.75" customHeight="1" x14ac:dyDescent="0.25">
      <c r="B71" s="69" t="s">
        <v>160</v>
      </c>
      <c r="C71" s="88" t="s">
        <v>161</v>
      </c>
      <c r="D71" s="87"/>
      <c r="E71" s="87"/>
      <c r="F71" s="87"/>
    </row>
    <row r="72" spans="2:6" ht="63.75" customHeight="1" x14ac:dyDescent="0.25">
      <c r="B72" s="69" t="s">
        <v>162</v>
      </c>
      <c r="C72" s="88" t="s">
        <v>163</v>
      </c>
      <c r="D72" s="87"/>
      <c r="E72" s="87"/>
      <c r="F72" s="87"/>
    </row>
    <row r="73" spans="2:6" ht="63.75" customHeight="1" x14ac:dyDescent="0.25">
      <c r="B73" s="69" t="s">
        <v>164</v>
      </c>
      <c r="C73" s="88" t="s">
        <v>165</v>
      </c>
      <c r="D73" s="87"/>
      <c r="E73" s="87"/>
      <c r="F73" s="87"/>
    </row>
    <row r="74" spans="2:6" ht="26.65" customHeight="1" x14ac:dyDescent="0.25">
      <c r="B74" s="69" t="s">
        <v>166</v>
      </c>
      <c r="C74" s="88" t="s">
        <v>167</v>
      </c>
      <c r="D74" s="87"/>
      <c r="E74" s="87"/>
      <c r="F74" s="87"/>
    </row>
    <row r="75" spans="2:6" ht="14.1" customHeight="1" x14ac:dyDescent="0.25"/>
    <row r="76" spans="2:6" ht="29.65" customHeight="1" x14ac:dyDescent="0.25">
      <c r="B76" s="89" t="s">
        <v>168</v>
      </c>
      <c r="C76" s="87"/>
      <c r="D76" s="87"/>
      <c r="E76" s="87"/>
      <c r="F76" s="87"/>
    </row>
    <row r="77" spans="2:6" ht="6" customHeight="1" x14ac:dyDescent="0.25"/>
    <row r="78" spans="2:6" ht="28.15" customHeight="1" x14ac:dyDescent="0.25">
      <c r="B78" s="91" t="s">
        <v>169</v>
      </c>
      <c r="C78" s="92"/>
      <c r="D78" s="92"/>
      <c r="E78" s="92"/>
      <c r="F78" s="92"/>
    </row>
    <row r="79" spans="2:6" ht="45.2" customHeight="1" x14ac:dyDescent="0.25">
      <c r="B79" s="69" t="s">
        <v>170</v>
      </c>
      <c r="C79" s="88" t="s">
        <v>171</v>
      </c>
      <c r="D79" s="87"/>
      <c r="E79" s="87"/>
      <c r="F79" s="87"/>
    </row>
    <row r="80" spans="2:6" ht="45.2" customHeight="1" x14ac:dyDescent="0.25">
      <c r="B80" s="69" t="s">
        <v>172</v>
      </c>
      <c r="C80" s="88" t="s">
        <v>173</v>
      </c>
      <c r="D80" s="87"/>
      <c r="E80" s="87"/>
      <c r="F80" s="87"/>
    </row>
    <row r="81" spans="2:6" ht="26.65" customHeight="1" x14ac:dyDescent="0.25">
      <c r="B81" s="69" t="s">
        <v>174</v>
      </c>
      <c r="C81" s="88" t="s">
        <v>175</v>
      </c>
      <c r="D81" s="87"/>
      <c r="E81" s="87"/>
      <c r="F81" s="87"/>
    </row>
    <row r="82" spans="2:6" ht="26.65" customHeight="1" x14ac:dyDescent="0.25">
      <c r="B82" s="69" t="s">
        <v>176</v>
      </c>
      <c r="C82" s="88" t="s">
        <v>177</v>
      </c>
      <c r="D82" s="87"/>
      <c r="E82" s="87"/>
      <c r="F82" s="87"/>
    </row>
    <row r="83" spans="2:6" ht="63.75" customHeight="1" x14ac:dyDescent="0.25">
      <c r="B83" s="69" t="s">
        <v>178</v>
      </c>
      <c r="C83" s="88" t="s">
        <v>179</v>
      </c>
      <c r="D83" s="87"/>
      <c r="E83" s="87"/>
      <c r="F83" s="87"/>
    </row>
    <row r="84" spans="2:6" ht="28.15" customHeight="1" x14ac:dyDescent="0.25">
      <c r="B84" s="91" t="s">
        <v>180</v>
      </c>
      <c r="C84" s="92"/>
      <c r="D84" s="92"/>
      <c r="E84" s="92"/>
      <c r="F84" s="92"/>
    </row>
    <row r="85" spans="2:6" ht="45.2" customHeight="1" x14ac:dyDescent="0.25">
      <c r="B85" s="69" t="s">
        <v>181</v>
      </c>
      <c r="C85" s="88" t="s">
        <v>182</v>
      </c>
      <c r="D85" s="87"/>
      <c r="E85" s="87"/>
      <c r="F85" s="87"/>
    </row>
    <row r="86" spans="2:6" ht="45.2" customHeight="1" x14ac:dyDescent="0.25">
      <c r="B86" s="69" t="s">
        <v>183</v>
      </c>
      <c r="C86" s="88" t="s">
        <v>184</v>
      </c>
      <c r="D86" s="87"/>
      <c r="E86" s="87"/>
      <c r="F86" s="87"/>
    </row>
    <row r="87" spans="2:6" ht="45.2" customHeight="1" x14ac:dyDescent="0.25">
      <c r="B87" s="69" t="s">
        <v>185</v>
      </c>
      <c r="C87" s="88" t="s">
        <v>186</v>
      </c>
      <c r="D87" s="87"/>
      <c r="E87" s="87"/>
      <c r="F87" s="87"/>
    </row>
    <row r="88" spans="2:6" ht="26.65" customHeight="1" x14ac:dyDescent="0.25">
      <c r="B88" s="69" t="s">
        <v>187</v>
      </c>
      <c r="C88" s="88" t="s">
        <v>188</v>
      </c>
      <c r="D88" s="87"/>
      <c r="E88" s="87"/>
      <c r="F88" s="87"/>
    </row>
    <row r="89" spans="2:6" ht="26.65" customHeight="1" x14ac:dyDescent="0.25">
      <c r="B89" s="69" t="s">
        <v>189</v>
      </c>
      <c r="C89" s="88" t="s">
        <v>190</v>
      </c>
      <c r="D89" s="87"/>
      <c r="E89" s="87"/>
      <c r="F89" s="87"/>
    </row>
    <row r="90" spans="2:6" ht="45.2" customHeight="1" x14ac:dyDescent="0.25">
      <c r="B90" s="69" t="s">
        <v>191</v>
      </c>
      <c r="C90" s="88" t="s">
        <v>192</v>
      </c>
      <c r="D90" s="87"/>
      <c r="E90" s="87"/>
      <c r="F90" s="87"/>
    </row>
    <row r="91" spans="2:6" ht="45.2" customHeight="1" x14ac:dyDescent="0.25">
      <c r="B91" s="69" t="s">
        <v>193</v>
      </c>
      <c r="C91" s="88" t="s">
        <v>194</v>
      </c>
      <c r="D91" s="87"/>
      <c r="E91" s="87"/>
      <c r="F91" s="87"/>
    </row>
    <row r="92" spans="2:6" ht="28.15" customHeight="1" x14ac:dyDescent="0.25">
      <c r="B92" s="91" t="s">
        <v>195</v>
      </c>
      <c r="C92" s="92"/>
      <c r="D92" s="92"/>
      <c r="E92" s="92"/>
      <c r="F92" s="92"/>
    </row>
    <row r="93" spans="2:6" ht="26.65" customHeight="1" x14ac:dyDescent="0.25">
      <c r="B93" s="69" t="s">
        <v>196</v>
      </c>
      <c r="C93" s="88" t="s">
        <v>197</v>
      </c>
      <c r="D93" s="87"/>
      <c r="E93" s="87"/>
      <c r="F93" s="87"/>
    </row>
    <row r="94" spans="2:6" ht="26.65" customHeight="1" x14ac:dyDescent="0.25">
      <c r="B94" s="69" t="s">
        <v>198</v>
      </c>
      <c r="C94" s="88" t="s">
        <v>199</v>
      </c>
      <c r="D94" s="87"/>
      <c r="E94" s="87"/>
      <c r="F94" s="87"/>
    </row>
    <row r="95" spans="2:6" ht="63.75" customHeight="1" x14ac:dyDescent="0.25">
      <c r="B95" s="69" t="s">
        <v>200</v>
      </c>
      <c r="C95" s="88" t="s">
        <v>201</v>
      </c>
      <c r="D95" s="87"/>
      <c r="E95" s="87"/>
      <c r="F95" s="87"/>
    </row>
    <row r="96" spans="2:6" ht="26.65" customHeight="1" x14ac:dyDescent="0.25">
      <c r="B96" s="69" t="s">
        <v>202</v>
      </c>
      <c r="C96" s="88" t="s">
        <v>203</v>
      </c>
      <c r="D96" s="87"/>
      <c r="E96" s="87"/>
      <c r="F96" s="87"/>
    </row>
    <row r="97" spans="2:6" ht="14.1" customHeight="1" x14ac:dyDescent="0.25"/>
    <row r="98" spans="2:6" ht="29.65" customHeight="1" x14ac:dyDescent="0.25">
      <c r="B98" s="89" t="s">
        <v>204</v>
      </c>
      <c r="C98" s="87"/>
      <c r="D98" s="87"/>
      <c r="E98" s="87"/>
      <c r="F98" s="87"/>
    </row>
    <row r="99" spans="2:6" ht="6" customHeight="1" x14ac:dyDescent="0.25"/>
    <row r="100" spans="2:6" ht="45.2" customHeight="1" x14ac:dyDescent="0.25">
      <c r="B100" s="69" t="s">
        <v>205</v>
      </c>
      <c r="C100" s="88" t="s">
        <v>206</v>
      </c>
      <c r="D100" s="87"/>
      <c r="E100" s="87"/>
      <c r="F100" s="87"/>
    </row>
    <row r="101" spans="2:6" ht="45.2" customHeight="1" x14ac:dyDescent="0.25">
      <c r="B101" s="69" t="s">
        <v>207</v>
      </c>
      <c r="C101" s="88" t="s">
        <v>208</v>
      </c>
      <c r="D101" s="87"/>
      <c r="E101" s="87"/>
      <c r="F101" s="87"/>
    </row>
    <row r="102" spans="2:6" ht="45.2" customHeight="1" x14ac:dyDescent="0.25">
      <c r="B102" s="69" t="s">
        <v>209</v>
      </c>
      <c r="C102" s="88" t="s">
        <v>210</v>
      </c>
      <c r="D102" s="87"/>
      <c r="E102" s="87"/>
      <c r="F102" s="87"/>
    </row>
    <row r="103" spans="2:6" ht="45.2" customHeight="1" x14ac:dyDescent="0.25">
      <c r="B103" s="69" t="s">
        <v>211</v>
      </c>
      <c r="C103" s="88" t="s">
        <v>212</v>
      </c>
      <c r="D103" s="87"/>
      <c r="E103" s="87"/>
      <c r="F103" s="87"/>
    </row>
    <row r="104" spans="2:6" ht="45.2" customHeight="1" x14ac:dyDescent="0.25">
      <c r="B104" s="69" t="s">
        <v>213</v>
      </c>
      <c r="C104" s="88" t="s">
        <v>214</v>
      </c>
      <c r="D104" s="87"/>
      <c r="E104" s="87"/>
      <c r="F104" s="87"/>
    </row>
    <row r="105" spans="2:6" ht="45.2" customHeight="1" x14ac:dyDescent="0.25">
      <c r="B105" s="69" t="s">
        <v>215</v>
      </c>
      <c r="C105" s="88" t="s">
        <v>216</v>
      </c>
      <c r="D105" s="87"/>
      <c r="E105" s="87"/>
      <c r="F105" s="87"/>
    </row>
    <row r="106" spans="2:6" ht="45.2" customHeight="1" x14ac:dyDescent="0.25">
      <c r="B106" s="69" t="s">
        <v>217</v>
      </c>
      <c r="C106" s="88" t="s">
        <v>218</v>
      </c>
      <c r="D106" s="87"/>
      <c r="E106" s="87"/>
      <c r="F106" s="87"/>
    </row>
    <row r="107" spans="2:6" ht="14.1" customHeight="1" x14ac:dyDescent="0.25"/>
    <row r="108" spans="2:6" ht="45.2" customHeight="1" x14ac:dyDescent="0.25">
      <c r="B108" s="88" t="s">
        <v>219</v>
      </c>
      <c r="C108" s="87"/>
      <c r="D108" s="87"/>
      <c r="E108" s="87"/>
      <c r="F108" s="87"/>
    </row>
    <row r="109" spans="2:6" ht="9.9499999999999993" customHeight="1" x14ac:dyDescent="0.25"/>
    <row r="110" spans="2:6" ht="26.65" customHeight="1" x14ac:dyDescent="0.25">
      <c r="B110" s="86" t="s">
        <v>220</v>
      </c>
      <c r="C110" s="87"/>
      <c r="D110" s="87"/>
      <c r="E110" s="87"/>
      <c r="F110" s="87"/>
    </row>
  </sheetData>
  <mergeCells count="89">
    <mergeCell ref="C13:E13"/>
    <mergeCell ref="B19:F19"/>
    <mergeCell ref="B9:F9"/>
    <mergeCell ref="D29:E29"/>
    <mergeCell ref="B2:F2"/>
    <mergeCell ref="C87:F87"/>
    <mergeCell ref="C62:F62"/>
    <mergeCell ref="C24:F24"/>
    <mergeCell ref="C89:F89"/>
    <mergeCell ref="B53:F53"/>
    <mergeCell ref="C64:F64"/>
    <mergeCell ref="C79:F79"/>
    <mergeCell ref="B34:F34"/>
    <mergeCell ref="C73:F73"/>
    <mergeCell ref="C88:F88"/>
    <mergeCell ref="B28:F28"/>
    <mergeCell ref="E49:F49"/>
    <mergeCell ref="C54:F54"/>
    <mergeCell ref="D33:E33"/>
    <mergeCell ref="C36:F36"/>
    <mergeCell ref="B108:F108"/>
    <mergeCell ref="C63:F63"/>
    <mergeCell ref="C41:F41"/>
    <mergeCell ref="B84:F84"/>
    <mergeCell ref="C93:F93"/>
    <mergeCell ref="B92:F92"/>
    <mergeCell ref="C56:F56"/>
    <mergeCell ref="C105:F105"/>
    <mergeCell ref="C43:F43"/>
    <mergeCell ref="E48:F48"/>
    <mergeCell ref="C69:F69"/>
    <mergeCell ref="C96:F96"/>
    <mergeCell ref="C83:F83"/>
    <mergeCell ref="B98:F98"/>
    <mergeCell ref="C102:F102"/>
    <mergeCell ref="C61:F61"/>
    <mergeCell ref="C11:E11"/>
    <mergeCell ref="B39:F39"/>
    <mergeCell ref="C86:F86"/>
    <mergeCell ref="B5:F5"/>
    <mergeCell ref="C90:F90"/>
    <mergeCell ref="B76:F76"/>
    <mergeCell ref="C71:F71"/>
    <mergeCell ref="C10:E10"/>
    <mergeCell ref="B7:F7"/>
    <mergeCell ref="C72:F72"/>
    <mergeCell ref="C81:F81"/>
    <mergeCell ref="D31:E31"/>
    <mergeCell ref="C37:F37"/>
    <mergeCell ref="E51:F51"/>
    <mergeCell ref="C17:F17"/>
    <mergeCell ref="C12:E12"/>
    <mergeCell ref="C91:F91"/>
    <mergeCell ref="B59:F59"/>
    <mergeCell ref="C82:F82"/>
    <mergeCell ref="E52:F52"/>
    <mergeCell ref="C57:F57"/>
    <mergeCell ref="B1:F1"/>
    <mergeCell ref="C45:F45"/>
    <mergeCell ref="C100:F100"/>
    <mergeCell ref="C94:F94"/>
    <mergeCell ref="C65:F65"/>
    <mergeCell ref="C47:F47"/>
    <mergeCell ref="C44:F44"/>
    <mergeCell ref="C22:F22"/>
    <mergeCell ref="C14:E14"/>
    <mergeCell ref="C80:F80"/>
    <mergeCell ref="D30:E30"/>
    <mergeCell ref="C46:F46"/>
    <mergeCell ref="C21:F21"/>
    <mergeCell ref="C95:F95"/>
    <mergeCell ref="C16:F16"/>
    <mergeCell ref="B4:F4"/>
    <mergeCell ref="B110:F110"/>
    <mergeCell ref="C70:F70"/>
    <mergeCell ref="C23:F23"/>
    <mergeCell ref="C106:F106"/>
    <mergeCell ref="C101:F101"/>
    <mergeCell ref="B67:F67"/>
    <mergeCell ref="D32:E32"/>
    <mergeCell ref="C104:F104"/>
    <mergeCell ref="C42:F42"/>
    <mergeCell ref="C74:F74"/>
    <mergeCell ref="B78:F78"/>
    <mergeCell ref="C103:F103"/>
    <mergeCell ref="C85:F85"/>
    <mergeCell ref="C55:F55"/>
    <mergeCell ref="B26:F26"/>
    <mergeCell ref="E50:F50"/>
  </mergeCells>
  <pageMargins left="0.4" right="0.4" top="1" bottom="1" header="0.5" footer="0.5"/>
  <pageSetup paperSize="9" fitToHeight="0"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B1:F110"/>
  <sheetViews>
    <sheetView showGridLines="0" topLeftCell="A100" workbookViewId="0"/>
  </sheetViews>
  <sheetFormatPr defaultRowHeight="15" x14ac:dyDescent="0.25"/>
  <cols>
    <col min="1" max="1" width="3" customWidth="1"/>
    <col min="2" max="2" width="22" customWidth="1"/>
    <col min="3" max="4" width="30" customWidth="1"/>
    <col min="5" max="5" width="28" customWidth="1"/>
    <col min="6" max="6" width="42" customWidth="1"/>
    <col min="7" max="7" width="3" customWidth="1"/>
  </cols>
  <sheetData>
    <row r="1" spans="2:6" ht="51.95" customHeight="1" x14ac:dyDescent="0.25">
      <c r="B1" s="101" t="s">
        <v>221</v>
      </c>
      <c r="C1" s="87"/>
      <c r="D1" s="87"/>
      <c r="E1" s="87"/>
      <c r="F1" s="87"/>
    </row>
    <row r="2" spans="2:6" ht="36" customHeight="1" x14ac:dyDescent="0.25">
      <c r="B2" s="103" t="s">
        <v>222</v>
      </c>
      <c r="C2" s="87"/>
      <c r="D2" s="87"/>
      <c r="E2" s="87"/>
      <c r="F2" s="87"/>
    </row>
    <row r="3" spans="2:6" ht="14.1" customHeight="1" x14ac:dyDescent="0.25"/>
    <row r="4" spans="2:6" ht="26.65" customHeight="1" x14ac:dyDescent="0.25">
      <c r="B4" s="97" t="s">
        <v>223</v>
      </c>
      <c r="C4" s="87"/>
      <c r="D4" s="87"/>
      <c r="E4" s="87"/>
      <c r="F4" s="87"/>
    </row>
    <row r="5" spans="2:6" ht="82.35" customHeight="1" x14ac:dyDescent="0.25">
      <c r="B5" s="97" t="s">
        <v>224</v>
      </c>
      <c r="C5" s="87"/>
      <c r="D5" s="87"/>
      <c r="E5" s="87"/>
      <c r="F5" s="87"/>
    </row>
    <row r="6" spans="2:6" ht="14.1" customHeight="1" x14ac:dyDescent="0.25"/>
    <row r="7" spans="2:6" ht="29.65" customHeight="1" x14ac:dyDescent="0.25">
      <c r="B7" s="98" t="s">
        <v>225</v>
      </c>
      <c r="C7" s="87"/>
      <c r="D7" s="87"/>
      <c r="E7" s="87"/>
      <c r="F7" s="87"/>
    </row>
    <row r="8" spans="2:6" ht="6" customHeight="1" x14ac:dyDescent="0.25"/>
    <row r="9" spans="2:6" ht="26.65" customHeight="1" x14ac:dyDescent="0.25">
      <c r="B9" s="97" t="s">
        <v>226</v>
      </c>
      <c r="C9" s="87"/>
      <c r="D9" s="87"/>
      <c r="E9" s="87"/>
      <c r="F9" s="87"/>
    </row>
    <row r="10" spans="2:6" ht="26.65" customHeight="1" x14ac:dyDescent="0.25">
      <c r="B10" s="70" t="s">
        <v>227</v>
      </c>
      <c r="C10" s="102" t="s">
        <v>228</v>
      </c>
      <c r="D10" s="75"/>
      <c r="E10" s="76"/>
      <c r="F10" s="70" t="s">
        <v>229</v>
      </c>
    </row>
    <row r="11" spans="2:6" ht="63.75" customHeight="1" x14ac:dyDescent="0.25">
      <c r="B11" s="71" t="s">
        <v>48</v>
      </c>
      <c r="C11" s="99" t="s">
        <v>230</v>
      </c>
      <c r="D11" s="75"/>
      <c r="E11" s="76"/>
      <c r="F11" s="71" t="s">
        <v>231</v>
      </c>
    </row>
    <row r="12" spans="2:6" ht="63.75" customHeight="1" x14ac:dyDescent="0.25">
      <c r="B12" s="71" t="s">
        <v>232</v>
      </c>
      <c r="C12" s="99" t="s">
        <v>233</v>
      </c>
      <c r="D12" s="75"/>
      <c r="E12" s="76"/>
      <c r="F12" s="71" t="s">
        <v>234</v>
      </c>
    </row>
    <row r="13" spans="2:6" ht="63.75" customHeight="1" x14ac:dyDescent="0.25">
      <c r="B13" s="71" t="s">
        <v>235</v>
      </c>
      <c r="C13" s="99" t="s">
        <v>236</v>
      </c>
      <c r="D13" s="75"/>
      <c r="E13" s="76"/>
      <c r="F13" s="71" t="s">
        <v>237</v>
      </c>
    </row>
    <row r="14" spans="2:6" ht="26.65" customHeight="1" x14ac:dyDescent="0.25">
      <c r="B14" s="71" t="s">
        <v>57</v>
      </c>
      <c r="C14" s="99" t="s">
        <v>238</v>
      </c>
      <c r="D14" s="75"/>
      <c r="E14" s="76"/>
      <c r="F14" s="71" t="s">
        <v>239</v>
      </c>
    </row>
    <row r="15" spans="2:6" ht="6" customHeight="1" x14ac:dyDescent="0.25"/>
    <row r="16" spans="2:6" ht="101.1" customHeight="1" x14ac:dyDescent="0.25">
      <c r="B16" s="72" t="s">
        <v>240</v>
      </c>
      <c r="C16" s="97" t="s">
        <v>241</v>
      </c>
      <c r="D16" s="87"/>
      <c r="E16" s="87"/>
      <c r="F16" s="87"/>
    </row>
    <row r="17" spans="2:6" ht="45.2" customHeight="1" x14ac:dyDescent="0.25">
      <c r="B17" s="72" t="s">
        <v>242</v>
      </c>
      <c r="C17" s="97" t="s">
        <v>243</v>
      </c>
      <c r="D17" s="87"/>
      <c r="E17" s="87"/>
      <c r="F17" s="87"/>
    </row>
    <row r="18" spans="2:6" ht="14.1" customHeight="1" x14ac:dyDescent="0.25"/>
    <row r="19" spans="2:6" ht="29.65" customHeight="1" x14ac:dyDescent="0.25">
      <c r="B19" s="98" t="s">
        <v>244</v>
      </c>
      <c r="C19" s="87"/>
      <c r="D19" s="87"/>
      <c r="E19" s="87"/>
      <c r="F19" s="87"/>
    </row>
    <row r="20" spans="2:6" ht="6" customHeight="1" x14ac:dyDescent="0.25"/>
    <row r="21" spans="2:6" ht="45.2" customHeight="1" x14ac:dyDescent="0.25">
      <c r="B21" s="72" t="s">
        <v>245</v>
      </c>
      <c r="C21" s="97" t="s">
        <v>246</v>
      </c>
      <c r="D21" s="87"/>
      <c r="E21" s="87"/>
      <c r="F21" s="87"/>
    </row>
    <row r="22" spans="2:6" ht="45.2" customHeight="1" x14ac:dyDescent="0.25">
      <c r="B22" s="72" t="s">
        <v>247</v>
      </c>
      <c r="C22" s="97" t="s">
        <v>248</v>
      </c>
      <c r="D22" s="87"/>
      <c r="E22" s="87"/>
      <c r="F22" s="87"/>
    </row>
    <row r="23" spans="2:6" ht="45.2" customHeight="1" x14ac:dyDescent="0.25">
      <c r="B23" s="72" t="s">
        <v>249</v>
      </c>
      <c r="C23" s="97" t="s">
        <v>250</v>
      </c>
      <c r="D23" s="87"/>
      <c r="E23" s="87"/>
      <c r="F23" s="87"/>
    </row>
    <row r="24" spans="2:6" ht="45.2" customHeight="1" x14ac:dyDescent="0.25">
      <c r="B24" s="72" t="s">
        <v>251</v>
      </c>
      <c r="C24" s="97" t="s">
        <v>252</v>
      </c>
      <c r="D24" s="87"/>
      <c r="E24" s="87"/>
      <c r="F24" s="87"/>
    </row>
    <row r="25" spans="2:6" ht="14.1" customHeight="1" x14ac:dyDescent="0.25"/>
    <row r="26" spans="2:6" ht="29.65" customHeight="1" x14ac:dyDescent="0.25">
      <c r="B26" s="98" t="s">
        <v>253</v>
      </c>
      <c r="C26" s="87"/>
      <c r="D26" s="87"/>
      <c r="E26" s="87"/>
      <c r="F26" s="87"/>
    </row>
    <row r="27" spans="2:6" ht="6" customHeight="1" x14ac:dyDescent="0.25"/>
    <row r="28" spans="2:6" ht="45.2" customHeight="1" x14ac:dyDescent="0.25">
      <c r="B28" s="97" t="s">
        <v>254</v>
      </c>
      <c r="C28" s="87"/>
      <c r="D28" s="87"/>
      <c r="E28" s="87"/>
      <c r="F28" s="87"/>
    </row>
    <row r="29" spans="2:6" ht="26.65" customHeight="1" x14ac:dyDescent="0.25">
      <c r="B29" s="70" t="s">
        <v>255</v>
      </c>
      <c r="C29" s="70" t="s">
        <v>256</v>
      </c>
      <c r="D29" s="102" t="s">
        <v>257</v>
      </c>
      <c r="E29" s="76"/>
      <c r="F29" s="70" t="s">
        <v>258</v>
      </c>
    </row>
    <row r="30" spans="2:6" ht="82.35" customHeight="1" x14ac:dyDescent="0.25">
      <c r="B30" s="71" t="s">
        <v>259</v>
      </c>
      <c r="C30" s="71" t="s">
        <v>260</v>
      </c>
      <c r="D30" s="99" t="s">
        <v>261</v>
      </c>
      <c r="E30" s="76"/>
      <c r="F30" s="71" t="s">
        <v>262</v>
      </c>
    </row>
    <row r="31" spans="2:6" ht="63.75" customHeight="1" x14ac:dyDescent="0.25">
      <c r="B31" s="71" t="s">
        <v>263</v>
      </c>
      <c r="C31" s="71" t="s">
        <v>264</v>
      </c>
      <c r="D31" s="99" t="s">
        <v>265</v>
      </c>
      <c r="E31" s="76"/>
      <c r="F31" s="71" t="s">
        <v>266</v>
      </c>
    </row>
    <row r="32" spans="2:6" ht="82.35" customHeight="1" x14ac:dyDescent="0.25">
      <c r="B32" s="71" t="s">
        <v>267</v>
      </c>
      <c r="C32" s="71" t="s">
        <v>268</v>
      </c>
      <c r="D32" s="99" t="s">
        <v>269</v>
      </c>
      <c r="E32" s="76"/>
      <c r="F32" s="71" t="s">
        <v>270</v>
      </c>
    </row>
    <row r="33" spans="2:6" ht="63.75" customHeight="1" x14ac:dyDescent="0.25">
      <c r="B33" s="71" t="s">
        <v>271</v>
      </c>
      <c r="C33" s="71" t="s">
        <v>272</v>
      </c>
      <c r="D33" s="99" t="s">
        <v>273</v>
      </c>
      <c r="E33" s="76"/>
      <c r="F33" s="71" t="s">
        <v>274</v>
      </c>
    </row>
    <row r="34" spans="2:6" ht="45.2" customHeight="1" x14ac:dyDescent="0.25">
      <c r="B34" s="97" t="s">
        <v>275</v>
      </c>
      <c r="C34" s="87"/>
      <c r="D34" s="87"/>
      <c r="E34" s="87"/>
      <c r="F34" s="87"/>
    </row>
    <row r="35" spans="2:6" ht="6" customHeight="1" x14ac:dyDescent="0.25"/>
    <row r="36" spans="2:6" ht="63.75" customHeight="1" x14ac:dyDescent="0.25">
      <c r="B36" s="72" t="s">
        <v>276</v>
      </c>
      <c r="C36" s="97" t="s">
        <v>277</v>
      </c>
      <c r="D36" s="87"/>
      <c r="E36" s="87"/>
      <c r="F36" s="87"/>
    </row>
    <row r="37" spans="2:6" ht="45.2" customHeight="1" x14ac:dyDescent="0.25">
      <c r="B37" s="72" t="s">
        <v>278</v>
      </c>
      <c r="C37" s="97" t="s">
        <v>279</v>
      </c>
      <c r="D37" s="87"/>
      <c r="E37" s="87"/>
      <c r="F37" s="87"/>
    </row>
    <row r="38" spans="2:6" ht="14.1" customHeight="1" x14ac:dyDescent="0.25"/>
    <row r="39" spans="2:6" ht="29.65" customHeight="1" x14ac:dyDescent="0.25">
      <c r="B39" s="98" t="s">
        <v>280</v>
      </c>
      <c r="C39" s="87"/>
      <c r="D39" s="87"/>
      <c r="E39" s="87"/>
      <c r="F39" s="87"/>
    </row>
    <row r="40" spans="2:6" ht="6" customHeight="1" x14ac:dyDescent="0.25"/>
    <row r="41" spans="2:6" ht="45.2" customHeight="1" x14ac:dyDescent="0.25">
      <c r="B41" s="72" t="s">
        <v>281</v>
      </c>
      <c r="C41" s="97" t="s">
        <v>282</v>
      </c>
      <c r="D41" s="87"/>
      <c r="E41" s="87"/>
      <c r="F41" s="87"/>
    </row>
    <row r="42" spans="2:6" ht="63.75" customHeight="1" x14ac:dyDescent="0.25">
      <c r="B42" s="72" t="s">
        <v>283</v>
      </c>
      <c r="C42" s="97" t="s">
        <v>284</v>
      </c>
      <c r="D42" s="87"/>
      <c r="E42" s="87"/>
      <c r="F42" s="87"/>
    </row>
    <row r="43" spans="2:6" ht="101.1" customHeight="1" x14ac:dyDescent="0.25">
      <c r="B43" s="72" t="s">
        <v>285</v>
      </c>
      <c r="C43" s="97" t="s">
        <v>286</v>
      </c>
      <c r="D43" s="87"/>
      <c r="E43" s="87"/>
      <c r="F43" s="87"/>
    </row>
    <row r="44" spans="2:6" ht="45.2" customHeight="1" x14ac:dyDescent="0.25">
      <c r="B44" s="72" t="s">
        <v>287</v>
      </c>
      <c r="C44" s="97" t="s">
        <v>288</v>
      </c>
      <c r="D44" s="87"/>
      <c r="E44" s="87"/>
      <c r="F44" s="87"/>
    </row>
    <row r="45" spans="2:6" ht="63.75" customHeight="1" x14ac:dyDescent="0.25">
      <c r="B45" s="72" t="s">
        <v>289</v>
      </c>
      <c r="C45" s="97" t="s">
        <v>290</v>
      </c>
      <c r="D45" s="87"/>
      <c r="E45" s="87"/>
      <c r="F45" s="87"/>
    </row>
    <row r="46" spans="2:6" ht="45.2" customHeight="1" x14ac:dyDescent="0.25">
      <c r="B46" s="72" t="s">
        <v>291</v>
      </c>
      <c r="C46" s="97" t="s">
        <v>292</v>
      </c>
      <c r="D46" s="87"/>
      <c r="E46" s="87"/>
      <c r="F46" s="87"/>
    </row>
    <row r="47" spans="2:6" ht="63.75" customHeight="1" x14ac:dyDescent="0.25">
      <c r="B47" s="72" t="s">
        <v>293</v>
      </c>
      <c r="C47" s="97" t="s">
        <v>294</v>
      </c>
      <c r="D47" s="87"/>
      <c r="E47" s="87"/>
      <c r="F47" s="87"/>
    </row>
    <row r="48" spans="2:6" ht="45.2" customHeight="1" x14ac:dyDescent="0.25">
      <c r="B48" s="70" t="s">
        <v>295</v>
      </c>
      <c r="C48" s="70" t="s">
        <v>296</v>
      </c>
      <c r="D48" s="70" t="s">
        <v>297</v>
      </c>
      <c r="E48" s="102" t="s">
        <v>298</v>
      </c>
      <c r="F48" s="76"/>
    </row>
    <row r="49" spans="2:6" ht="45.2" customHeight="1" x14ac:dyDescent="0.25">
      <c r="B49" s="71" t="s">
        <v>299</v>
      </c>
      <c r="C49" s="71" t="s">
        <v>300</v>
      </c>
      <c r="D49" s="71" t="s">
        <v>301</v>
      </c>
      <c r="E49" s="99" t="s">
        <v>302</v>
      </c>
      <c r="F49" s="76"/>
    </row>
    <row r="50" spans="2:6" ht="45.2" customHeight="1" x14ac:dyDescent="0.25">
      <c r="B50" s="71" t="s">
        <v>303</v>
      </c>
      <c r="C50" s="71" t="s">
        <v>304</v>
      </c>
      <c r="D50" s="71" t="s">
        <v>305</v>
      </c>
      <c r="E50" s="99" t="s">
        <v>306</v>
      </c>
      <c r="F50" s="76"/>
    </row>
    <row r="51" spans="2:6" ht="45.2" customHeight="1" x14ac:dyDescent="0.25">
      <c r="B51" s="71" t="s">
        <v>307</v>
      </c>
      <c r="C51" s="71" t="s">
        <v>308</v>
      </c>
      <c r="D51" s="71" t="s">
        <v>309</v>
      </c>
      <c r="E51" s="99" t="s">
        <v>310</v>
      </c>
      <c r="F51" s="76"/>
    </row>
    <row r="52" spans="2:6" ht="45.2" customHeight="1" x14ac:dyDescent="0.25">
      <c r="B52" s="71" t="s">
        <v>311</v>
      </c>
      <c r="C52" s="71" t="s">
        <v>312</v>
      </c>
      <c r="D52" s="71" t="s">
        <v>313</v>
      </c>
      <c r="E52" s="99" t="s">
        <v>314</v>
      </c>
      <c r="F52" s="76"/>
    </row>
    <row r="53" spans="2:6" ht="43.7" customHeight="1" x14ac:dyDescent="0.25">
      <c r="B53" s="104" t="s">
        <v>315</v>
      </c>
      <c r="C53" s="87"/>
      <c r="D53" s="87"/>
      <c r="E53" s="87"/>
      <c r="F53" s="87"/>
    </row>
    <row r="54" spans="2:6" ht="101.1" customHeight="1" x14ac:dyDescent="0.25">
      <c r="B54" s="72" t="s">
        <v>316</v>
      </c>
      <c r="C54" s="97" t="s">
        <v>317</v>
      </c>
      <c r="D54" s="87"/>
      <c r="E54" s="87"/>
      <c r="F54" s="87"/>
    </row>
    <row r="55" spans="2:6" ht="82.35" customHeight="1" x14ac:dyDescent="0.25">
      <c r="B55" s="72" t="s">
        <v>318</v>
      </c>
      <c r="C55" s="97" t="s">
        <v>319</v>
      </c>
      <c r="D55" s="87"/>
      <c r="E55" s="87"/>
      <c r="F55" s="87"/>
    </row>
    <row r="56" spans="2:6" ht="63.75" customHeight="1" x14ac:dyDescent="0.25">
      <c r="B56" s="72" t="s">
        <v>320</v>
      </c>
      <c r="C56" s="97" t="s">
        <v>321</v>
      </c>
      <c r="D56" s="87"/>
      <c r="E56" s="87"/>
      <c r="F56" s="87"/>
    </row>
    <row r="57" spans="2:6" ht="63.75" customHeight="1" x14ac:dyDescent="0.25">
      <c r="B57" s="72" t="s">
        <v>322</v>
      </c>
      <c r="C57" s="97" t="s">
        <v>323</v>
      </c>
      <c r="D57" s="87"/>
      <c r="E57" s="87"/>
      <c r="F57" s="87"/>
    </row>
    <row r="58" spans="2:6" ht="14.1" customHeight="1" x14ac:dyDescent="0.25"/>
    <row r="59" spans="2:6" ht="29.65" customHeight="1" x14ac:dyDescent="0.25">
      <c r="B59" s="98" t="s">
        <v>324</v>
      </c>
      <c r="C59" s="87"/>
      <c r="D59" s="87"/>
      <c r="E59" s="87"/>
      <c r="F59" s="87"/>
    </row>
    <row r="60" spans="2:6" ht="6" customHeight="1" x14ac:dyDescent="0.25"/>
    <row r="61" spans="2:6" ht="26.65" customHeight="1" x14ac:dyDescent="0.25">
      <c r="B61" s="72" t="s">
        <v>325</v>
      </c>
      <c r="C61" s="97" t="s">
        <v>326</v>
      </c>
      <c r="D61" s="87"/>
      <c r="E61" s="87"/>
      <c r="F61" s="87"/>
    </row>
    <row r="62" spans="2:6" ht="45.2" customHeight="1" x14ac:dyDescent="0.25">
      <c r="B62" s="72" t="s">
        <v>327</v>
      </c>
      <c r="C62" s="97" t="s">
        <v>328</v>
      </c>
      <c r="D62" s="87"/>
      <c r="E62" s="87"/>
      <c r="F62" s="87"/>
    </row>
    <row r="63" spans="2:6" ht="45.2" customHeight="1" x14ac:dyDescent="0.25">
      <c r="B63" s="72" t="s">
        <v>329</v>
      </c>
      <c r="C63" s="97" t="s">
        <v>330</v>
      </c>
      <c r="D63" s="87"/>
      <c r="E63" s="87"/>
      <c r="F63" s="87"/>
    </row>
    <row r="64" spans="2:6" ht="26.65" customHeight="1" x14ac:dyDescent="0.25">
      <c r="B64" s="72" t="s">
        <v>331</v>
      </c>
      <c r="C64" s="97" t="s">
        <v>332</v>
      </c>
      <c r="D64" s="87"/>
      <c r="E64" s="87"/>
      <c r="F64" s="87"/>
    </row>
    <row r="65" spans="2:6" ht="45.2" customHeight="1" x14ac:dyDescent="0.25">
      <c r="B65" s="72" t="s">
        <v>333</v>
      </c>
      <c r="C65" s="97" t="s">
        <v>334</v>
      </c>
      <c r="D65" s="87"/>
      <c r="E65" s="87"/>
      <c r="F65" s="87"/>
    </row>
    <row r="66" spans="2:6" ht="14.1" customHeight="1" x14ac:dyDescent="0.25"/>
    <row r="67" spans="2:6" ht="29.65" customHeight="1" x14ac:dyDescent="0.25">
      <c r="B67" s="98" t="s">
        <v>335</v>
      </c>
      <c r="C67" s="87"/>
      <c r="D67" s="87"/>
      <c r="E67" s="87"/>
      <c r="F67" s="87"/>
    </row>
    <row r="68" spans="2:6" ht="6" customHeight="1" x14ac:dyDescent="0.25"/>
    <row r="69" spans="2:6" ht="82.35" customHeight="1" x14ac:dyDescent="0.25">
      <c r="B69" s="72" t="s">
        <v>336</v>
      </c>
      <c r="C69" s="97" t="s">
        <v>337</v>
      </c>
      <c r="D69" s="87"/>
      <c r="E69" s="87"/>
      <c r="F69" s="87"/>
    </row>
    <row r="70" spans="2:6" ht="45.2" customHeight="1" x14ac:dyDescent="0.25">
      <c r="B70" s="72" t="s">
        <v>338</v>
      </c>
      <c r="C70" s="97" t="s">
        <v>339</v>
      </c>
      <c r="D70" s="87"/>
      <c r="E70" s="87"/>
      <c r="F70" s="87"/>
    </row>
    <row r="71" spans="2:6" ht="45.2" customHeight="1" x14ac:dyDescent="0.25">
      <c r="B71" s="72" t="s">
        <v>340</v>
      </c>
      <c r="C71" s="97" t="s">
        <v>341</v>
      </c>
      <c r="D71" s="87"/>
      <c r="E71" s="87"/>
      <c r="F71" s="87"/>
    </row>
    <row r="72" spans="2:6" ht="63.75" customHeight="1" x14ac:dyDescent="0.25">
      <c r="B72" s="72" t="s">
        <v>342</v>
      </c>
      <c r="C72" s="97" t="s">
        <v>343</v>
      </c>
      <c r="D72" s="87"/>
      <c r="E72" s="87"/>
      <c r="F72" s="87"/>
    </row>
    <row r="73" spans="2:6" ht="63.75" customHeight="1" x14ac:dyDescent="0.25">
      <c r="B73" s="72" t="s">
        <v>344</v>
      </c>
      <c r="C73" s="97" t="s">
        <v>345</v>
      </c>
      <c r="D73" s="87"/>
      <c r="E73" s="87"/>
      <c r="F73" s="87"/>
    </row>
    <row r="74" spans="2:6" ht="26.65" customHeight="1" x14ac:dyDescent="0.25">
      <c r="B74" s="72" t="s">
        <v>346</v>
      </c>
      <c r="C74" s="97" t="s">
        <v>347</v>
      </c>
      <c r="D74" s="87"/>
      <c r="E74" s="87"/>
      <c r="F74" s="87"/>
    </row>
    <row r="75" spans="2:6" ht="14.1" customHeight="1" x14ac:dyDescent="0.25"/>
    <row r="76" spans="2:6" ht="29.65" customHeight="1" x14ac:dyDescent="0.25">
      <c r="B76" s="98" t="s">
        <v>348</v>
      </c>
      <c r="C76" s="87"/>
      <c r="D76" s="87"/>
      <c r="E76" s="87"/>
      <c r="F76" s="87"/>
    </row>
    <row r="77" spans="2:6" ht="6" customHeight="1" x14ac:dyDescent="0.25"/>
    <row r="78" spans="2:6" ht="28.15" customHeight="1" x14ac:dyDescent="0.25">
      <c r="B78" s="100" t="s">
        <v>349</v>
      </c>
      <c r="C78" s="92"/>
      <c r="D78" s="92"/>
      <c r="E78" s="92"/>
      <c r="F78" s="92"/>
    </row>
    <row r="79" spans="2:6" ht="45.2" customHeight="1" x14ac:dyDescent="0.25">
      <c r="B79" s="72" t="s">
        <v>170</v>
      </c>
      <c r="C79" s="97" t="s">
        <v>350</v>
      </c>
      <c r="D79" s="87"/>
      <c r="E79" s="87"/>
      <c r="F79" s="87"/>
    </row>
    <row r="80" spans="2:6" ht="45.2" customHeight="1" x14ac:dyDescent="0.25">
      <c r="B80" s="72" t="s">
        <v>172</v>
      </c>
      <c r="C80" s="97" t="s">
        <v>351</v>
      </c>
      <c r="D80" s="87"/>
      <c r="E80" s="87"/>
      <c r="F80" s="87"/>
    </row>
    <row r="81" spans="2:6" ht="26.65" customHeight="1" x14ac:dyDescent="0.25">
      <c r="B81" s="72" t="s">
        <v>174</v>
      </c>
      <c r="C81" s="97" t="s">
        <v>352</v>
      </c>
      <c r="D81" s="87"/>
      <c r="E81" s="87"/>
      <c r="F81" s="87"/>
    </row>
    <row r="82" spans="2:6" ht="26.65" customHeight="1" x14ac:dyDescent="0.25">
      <c r="B82" s="72" t="s">
        <v>176</v>
      </c>
      <c r="C82" s="97" t="s">
        <v>353</v>
      </c>
      <c r="D82" s="87"/>
      <c r="E82" s="87"/>
      <c r="F82" s="87"/>
    </row>
    <row r="83" spans="2:6" ht="63.75" customHeight="1" x14ac:dyDescent="0.25">
      <c r="B83" s="72" t="s">
        <v>178</v>
      </c>
      <c r="C83" s="97" t="s">
        <v>354</v>
      </c>
      <c r="D83" s="87"/>
      <c r="E83" s="87"/>
      <c r="F83" s="87"/>
    </row>
    <row r="84" spans="2:6" ht="28.15" customHeight="1" x14ac:dyDescent="0.25">
      <c r="B84" s="100" t="s">
        <v>355</v>
      </c>
      <c r="C84" s="92"/>
      <c r="D84" s="92"/>
      <c r="E84" s="92"/>
      <c r="F84" s="92"/>
    </row>
    <row r="85" spans="2:6" ht="45.2" customHeight="1" x14ac:dyDescent="0.25">
      <c r="B85" s="72" t="s">
        <v>181</v>
      </c>
      <c r="C85" s="97" t="s">
        <v>356</v>
      </c>
      <c r="D85" s="87"/>
      <c r="E85" s="87"/>
      <c r="F85" s="87"/>
    </row>
    <row r="86" spans="2:6" ht="45.2" customHeight="1" x14ac:dyDescent="0.25">
      <c r="B86" s="72" t="s">
        <v>183</v>
      </c>
      <c r="C86" s="97" t="s">
        <v>357</v>
      </c>
      <c r="D86" s="87"/>
      <c r="E86" s="87"/>
      <c r="F86" s="87"/>
    </row>
    <row r="87" spans="2:6" ht="45.2" customHeight="1" x14ac:dyDescent="0.25">
      <c r="B87" s="72" t="s">
        <v>185</v>
      </c>
      <c r="C87" s="97" t="s">
        <v>358</v>
      </c>
      <c r="D87" s="87"/>
      <c r="E87" s="87"/>
      <c r="F87" s="87"/>
    </row>
    <row r="88" spans="2:6" ht="45.2" customHeight="1" x14ac:dyDescent="0.25">
      <c r="B88" s="72" t="s">
        <v>187</v>
      </c>
      <c r="C88" s="97" t="s">
        <v>359</v>
      </c>
      <c r="D88" s="87"/>
      <c r="E88" s="87"/>
      <c r="F88" s="87"/>
    </row>
    <row r="89" spans="2:6" ht="26.65" customHeight="1" x14ac:dyDescent="0.25">
      <c r="B89" s="72" t="s">
        <v>189</v>
      </c>
      <c r="C89" s="97" t="s">
        <v>360</v>
      </c>
      <c r="D89" s="87"/>
      <c r="E89" s="87"/>
      <c r="F89" s="87"/>
    </row>
    <row r="90" spans="2:6" ht="45.2" customHeight="1" x14ac:dyDescent="0.25">
      <c r="B90" s="72" t="s">
        <v>191</v>
      </c>
      <c r="C90" s="97" t="s">
        <v>361</v>
      </c>
      <c r="D90" s="87"/>
      <c r="E90" s="87"/>
      <c r="F90" s="87"/>
    </row>
    <row r="91" spans="2:6" ht="45.2" customHeight="1" x14ac:dyDescent="0.25">
      <c r="B91" s="72" t="s">
        <v>193</v>
      </c>
      <c r="C91" s="97" t="s">
        <v>362</v>
      </c>
      <c r="D91" s="87"/>
      <c r="E91" s="87"/>
      <c r="F91" s="87"/>
    </row>
    <row r="92" spans="2:6" ht="28.15" customHeight="1" x14ac:dyDescent="0.25">
      <c r="B92" s="100" t="s">
        <v>363</v>
      </c>
      <c r="C92" s="92"/>
      <c r="D92" s="92"/>
      <c r="E92" s="92"/>
      <c r="F92" s="92"/>
    </row>
    <row r="93" spans="2:6" ht="45.2" customHeight="1" x14ac:dyDescent="0.25">
      <c r="B93" s="72" t="s">
        <v>196</v>
      </c>
      <c r="C93" s="97" t="s">
        <v>364</v>
      </c>
      <c r="D93" s="87"/>
      <c r="E93" s="87"/>
      <c r="F93" s="87"/>
    </row>
    <row r="94" spans="2:6" ht="45.2" customHeight="1" x14ac:dyDescent="0.25">
      <c r="B94" s="72" t="s">
        <v>198</v>
      </c>
      <c r="C94" s="97" t="s">
        <v>365</v>
      </c>
      <c r="D94" s="87"/>
      <c r="E94" s="87"/>
      <c r="F94" s="87"/>
    </row>
    <row r="95" spans="2:6" ht="45.2" customHeight="1" x14ac:dyDescent="0.25">
      <c r="B95" s="72" t="s">
        <v>200</v>
      </c>
      <c r="C95" s="97" t="s">
        <v>366</v>
      </c>
      <c r="D95" s="87"/>
      <c r="E95" s="87"/>
      <c r="F95" s="87"/>
    </row>
    <row r="96" spans="2:6" ht="26.65" customHeight="1" x14ac:dyDescent="0.25">
      <c r="B96" s="72" t="s">
        <v>202</v>
      </c>
      <c r="C96" s="97" t="s">
        <v>367</v>
      </c>
      <c r="D96" s="87"/>
      <c r="E96" s="87"/>
      <c r="F96" s="87"/>
    </row>
    <row r="97" spans="2:6" ht="14.1" customHeight="1" x14ac:dyDescent="0.25"/>
    <row r="98" spans="2:6" ht="29.65" customHeight="1" x14ac:dyDescent="0.25">
      <c r="B98" s="98" t="s">
        <v>368</v>
      </c>
      <c r="C98" s="87"/>
      <c r="D98" s="87"/>
      <c r="E98" s="87"/>
      <c r="F98" s="87"/>
    </row>
    <row r="99" spans="2:6" ht="6" customHeight="1" x14ac:dyDescent="0.25"/>
    <row r="100" spans="2:6" ht="45.2" customHeight="1" x14ac:dyDescent="0.25">
      <c r="B100" s="72" t="s">
        <v>369</v>
      </c>
      <c r="C100" s="97" t="s">
        <v>370</v>
      </c>
      <c r="D100" s="87"/>
      <c r="E100" s="87"/>
      <c r="F100" s="87"/>
    </row>
    <row r="101" spans="2:6" ht="45.2" customHeight="1" x14ac:dyDescent="0.25">
      <c r="B101" s="72" t="s">
        <v>371</v>
      </c>
      <c r="C101" s="97" t="s">
        <v>372</v>
      </c>
      <c r="D101" s="87"/>
      <c r="E101" s="87"/>
      <c r="F101" s="87"/>
    </row>
    <row r="102" spans="2:6" ht="45.2" customHeight="1" x14ac:dyDescent="0.25">
      <c r="B102" s="72" t="s">
        <v>373</v>
      </c>
      <c r="C102" s="97" t="s">
        <v>374</v>
      </c>
      <c r="D102" s="87"/>
      <c r="E102" s="87"/>
      <c r="F102" s="87"/>
    </row>
    <row r="103" spans="2:6" ht="45.2" customHeight="1" x14ac:dyDescent="0.25">
      <c r="B103" s="72" t="s">
        <v>375</v>
      </c>
      <c r="C103" s="97" t="s">
        <v>376</v>
      </c>
      <c r="D103" s="87"/>
      <c r="E103" s="87"/>
      <c r="F103" s="87"/>
    </row>
    <row r="104" spans="2:6" ht="63.75" customHeight="1" x14ac:dyDescent="0.25">
      <c r="B104" s="72" t="s">
        <v>377</v>
      </c>
      <c r="C104" s="97" t="s">
        <v>378</v>
      </c>
      <c r="D104" s="87"/>
      <c r="E104" s="87"/>
      <c r="F104" s="87"/>
    </row>
    <row r="105" spans="2:6" ht="45.2" customHeight="1" x14ac:dyDescent="0.25">
      <c r="B105" s="72" t="s">
        <v>379</v>
      </c>
      <c r="C105" s="97" t="s">
        <v>380</v>
      </c>
      <c r="D105" s="87"/>
      <c r="E105" s="87"/>
      <c r="F105" s="87"/>
    </row>
    <row r="106" spans="2:6" ht="63.75" customHeight="1" x14ac:dyDescent="0.25">
      <c r="B106" s="72" t="s">
        <v>381</v>
      </c>
      <c r="C106" s="97" t="s">
        <v>382</v>
      </c>
      <c r="D106" s="87"/>
      <c r="E106" s="87"/>
      <c r="F106" s="87"/>
    </row>
    <row r="107" spans="2:6" ht="14.1" customHeight="1" x14ac:dyDescent="0.25"/>
    <row r="108" spans="2:6" ht="45.2" customHeight="1" x14ac:dyDescent="0.25">
      <c r="B108" s="97" t="s">
        <v>383</v>
      </c>
      <c r="C108" s="87"/>
      <c r="D108" s="87"/>
      <c r="E108" s="87"/>
      <c r="F108" s="87"/>
    </row>
    <row r="109" spans="2:6" ht="9.9499999999999993" customHeight="1" x14ac:dyDescent="0.25"/>
    <row r="110" spans="2:6" ht="26.65" customHeight="1" x14ac:dyDescent="0.25">
      <c r="B110" s="96" t="s">
        <v>384</v>
      </c>
      <c r="C110" s="87"/>
      <c r="D110" s="87"/>
      <c r="E110" s="87"/>
      <c r="F110" s="87"/>
    </row>
  </sheetData>
  <mergeCells count="89">
    <mergeCell ref="C13:E13"/>
    <mergeCell ref="B19:F19"/>
    <mergeCell ref="B9:F9"/>
    <mergeCell ref="D29:E29"/>
    <mergeCell ref="B2:F2"/>
    <mergeCell ref="C87:F87"/>
    <mergeCell ref="C62:F62"/>
    <mergeCell ref="C24:F24"/>
    <mergeCell ref="C89:F89"/>
    <mergeCell ref="B53:F53"/>
    <mergeCell ref="C64:F64"/>
    <mergeCell ref="C79:F79"/>
    <mergeCell ref="B34:F34"/>
    <mergeCell ref="C73:F73"/>
    <mergeCell ref="C88:F88"/>
    <mergeCell ref="B28:F28"/>
    <mergeCell ref="E49:F49"/>
    <mergeCell ref="C54:F54"/>
    <mergeCell ref="D33:E33"/>
    <mergeCell ref="C36:F36"/>
    <mergeCell ref="B108:F108"/>
    <mergeCell ref="C63:F63"/>
    <mergeCell ref="C41:F41"/>
    <mergeCell ref="B84:F84"/>
    <mergeCell ref="C93:F93"/>
    <mergeCell ref="B92:F92"/>
    <mergeCell ref="C56:F56"/>
    <mergeCell ref="C105:F105"/>
    <mergeCell ref="C43:F43"/>
    <mergeCell ref="E48:F48"/>
    <mergeCell ref="C69:F69"/>
    <mergeCell ref="C96:F96"/>
    <mergeCell ref="C83:F83"/>
    <mergeCell ref="B98:F98"/>
    <mergeCell ref="C102:F102"/>
    <mergeCell ref="C61:F61"/>
    <mergeCell ref="C11:E11"/>
    <mergeCell ref="B39:F39"/>
    <mergeCell ref="C86:F86"/>
    <mergeCell ref="B5:F5"/>
    <mergeCell ref="C90:F90"/>
    <mergeCell ref="B76:F76"/>
    <mergeCell ref="C71:F71"/>
    <mergeCell ref="C10:E10"/>
    <mergeCell ref="B7:F7"/>
    <mergeCell ref="C72:F72"/>
    <mergeCell ref="C81:F81"/>
    <mergeCell ref="D31:E31"/>
    <mergeCell ref="C37:F37"/>
    <mergeCell ref="E51:F51"/>
    <mergeCell ref="C17:F17"/>
    <mergeCell ref="C12:E12"/>
    <mergeCell ref="C91:F91"/>
    <mergeCell ref="B59:F59"/>
    <mergeCell ref="C82:F82"/>
    <mergeCell ref="E52:F52"/>
    <mergeCell ref="C57:F57"/>
    <mergeCell ref="B1:F1"/>
    <mergeCell ref="C45:F45"/>
    <mergeCell ref="C100:F100"/>
    <mergeCell ref="C94:F94"/>
    <mergeCell ref="C65:F65"/>
    <mergeCell ref="C47:F47"/>
    <mergeCell ref="C44:F44"/>
    <mergeCell ref="C22:F22"/>
    <mergeCell ref="C14:E14"/>
    <mergeCell ref="C80:F80"/>
    <mergeCell ref="D30:E30"/>
    <mergeCell ref="C46:F46"/>
    <mergeCell ref="C21:F21"/>
    <mergeCell ref="C95:F95"/>
    <mergeCell ref="C16:F16"/>
    <mergeCell ref="B4:F4"/>
    <mergeCell ref="B110:F110"/>
    <mergeCell ref="C70:F70"/>
    <mergeCell ref="C23:F23"/>
    <mergeCell ref="C106:F106"/>
    <mergeCell ref="C101:F101"/>
    <mergeCell ref="B67:F67"/>
    <mergeCell ref="D32:E32"/>
    <mergeCell ref="C104:F104"/>
    <mergeCell ref="C42:F42"/>
    <mergeCell ref="C74:F74"/>
    <mergeCell ref="B78:F78"/>
    <mergeCell ref="C103:F103"/>
    <mergeCell ref="C85:F85"/>
    <mergeCell ref="C55:F55"/>
    <mergeCell ref="B26:F26"/>
    <mergeCell ref="E50:F50"/>
  </mergeCells>
  <pageMargins left="0.4" right="0.4" top="1" bottom="1" header="0.5" footer="0.5"/>
  <pageSetup paperSize="9" fitToHeight="0"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140"/>
  <sheetViews>
    <sheetView rightToLeft="1" topLeftCell="A38" zoomScaleNormal="100" workbookViewId="0">
      <selection activeCell="A2" sqref="A2:X2"/>
    </sheetView>
  </sheetViews>
  <sheetFormatPr defaultColWidth="8.7109375" defaultRowHeight="15" x14ac:dyDescent="0.25"/>
  <cols>
    <col min="1" max="1" width="5" customWidth="1"/>
    <col min="2" max="2" width="46.85546875" customWidth="1"/>
    <col min="3" max="3" width="49.7109375" customWidth="1"/>
    <col min="4" max="4" width="13" customWidth="1"/>
    <col min="5" max="5" width="18" customWidth="1"/>
    <col min="6" max="7" width="14" customWidth="1"/>
    <col min="8" max="8" width="18" customWidth="1"/>
    <col min="9" max="9" width="22" customWidth="1"/>
    <col min="10" max="10" width="12" customWidth="1"/>
    <col min="11" max="11" width="14.28515625" customWidth="1"/>
    <col min="12" max="12" width="21.85546875" customWidth="1"/>
    <col min="13" max="13" width="13" customWidth="1"/>
    <col min="14" max="14" width="9" customWidth="1"/>
    <col min="15" max="15" width="10.7109375" customWidth="1"/>
    <col min="16" max="16" width="9" customWidth="1"/>
    <col min="17" max="17" width="11" customWidth="1"/>
    <col min="18" max="18" width="9" customWidth="1"/>
    <col min="19" max="19" width="11.28515625" customWidth="1"/>
    <col min="20" max="20" width="9" customWidth="1"/>
    <col min="21" max="21" width="10.85546875" customWidth="1"/>
    <col min="22" max="22" width="17.5703125" customWidth="1"/>
    <col min="23" max="23" width="15.28515625" customWidth="1"/>
    <col min="24" max="24" width="15.42578125" customWidth="1"/>
  </cols>
  <sheetData>
    <row r="1" spans="1:24" ht="51" customHeight="1" x14ac:dyDescent="0.25">
      <c r="A1" s="106" t="s">
        <v>0</v>
      </c>
      <c r="B1" s="87"/>
      <c r="C1" s="87"/>
      <c r="D1" s="87"/>
      <c r="E1" s="87"/>
      <c r="F1" s="87"/>
      <c r="G1" s="87"/>
      <c r="H1" s="87"/>
      <c r="I1" s="87"/>
      <c r="J1" s="87"/>
      <c r="K1" s="87"/>
      <c r="L1" s="87"/>
      <c r="M1" s="87"/>
      <c r="N1" s="87"/>
      <c r="O1" s="87"/>
      <c r="P1" s="87"/>
      <c r="Q1" s="87"/>
      <c r="R1" s="87"/>
      <c r="S1" s="87"/>
      <c r="T1" s="87"/>
      <c r="U1" s="87"/>
      <c r="V1" s="87"/>
      <c r="W1" s="87"/>
      <c r="X1" s="87"/>
    </row>
    <row r="2" spans="1:24" ht="31.5" customHeight="1" x14ac:dyDescent="0.25">
      <c r="A2" s="109" t="s">
        <v>1</v>
      </c>
      <c r="B2" s="87"/>
      <c r="C2" s="87"/>
      <c r="D2" s="87"/>
      <c r="E2" s="87"/>
      <c r="F2" s="87"/>
      <c r="G2" s="87"/>
      <c r="H2" s="87"/>
      <c r="I2" s="87"/>
      <c r="J2" s="87"/>
      <c r="K2" s="87"/>
      <c r="L2" s="87"/>
      <c r="M2" s="87"/>
      <c r="N2" s="87"/>
      <c r="O2" s="87"/>
      <c r="P2" s="87"/>
      <c r="Q2" s="87"/>
      <c r="R2" s="87"/>
      <c r="S2" s="87"/>
      <c r="T2" s="87"/>
      <c r="U2" s="87"/>
      <c r="V2" s="87"/>
      <c r="W2" s="87"/>
      <c r="X2" s="87"/>
    </row>
    <row r="3" spans="1:24" ht="31.5" customHeight="1" x14ac:dyDescent="0.25">
      <c r="A3" s="1"/>
      <c r="B3" s="1" t="s">
        <v>2</v>
      </c>
      <c r="C3" s="107"/>
      <c r="D3" s="108"/>
      <c r="E3" s="2" t="s">
        <v>3</v>
      </c>
      <c r="F3" s="110"/>
      <c r="G3" s="108"/>
      <c r="H3" s="108"/>
      <c r="I3" s="108"/>
      <c r="J3" s="112" t="s">
        <v>4</v>
      </c>
      <c r="K3" s="87"/>
      <c r="L3" s="107"/>
      <c r="M3" s="108"/>
      <c r="N3" s="108"/>
      <c r="O3" s="2" t="s">
        <v>5</v>
      </c>
      <c r="P3" s="110"/>
      <c r="Q3" s="108"/>
      <c r="R3" s="108"/>
    </row>
    <row r="4" spans="1:24" ht="30" customHeight="1" x14ac:dyDescent="0.25">
      <c r="A4" s="3"/>
      <c r="B4" s="111" t="s">
        <v>6</v>
      </c>
      <c r="C4" s="87"/>
      <c r="D4" s="87"/>
      <c r="E4" s="105" t="s">
        <v>7</v>
      </c>
      <c r="F4" s="87"/>
      <c r="G4" s="87"/>
      <c r="H4" s="87"/>
      <c r="I4" s="87"/>
      <c r="J4" s="87"/>
      <c r="K4" s="87"/>
      <c r="L4" s="87"/>
      <c r="M4" s="4" t="s">
        <v>8</v>
      </c>
      <c r="N4" s="105" t="s">
        <v>9</v>
      </c>
      <c r="O4" s="87"/>
      <c r="P4" s="87"/>
      <c r="Q4" s="87"/>
      <c r="R4" s="87"/>
      <c r="S4" s="87"/>
      <c r="T4" s="87"/>
      <c r="U4" s="87"/>
      <c r="V4" s="105" t="s">
        <v>10</v>
      </c>
      <c r="W4" s="87"/>
      <c r="X4" s="87"/>
    </row>
    <row r="5" spans="1:24" ht="43.5" customHeight="1" x14ac:dyDescent="0.25">
      <c r="A5" s="5" t="s">
        <v>11</v>
      </c>
      <c r="B5" s="5" t="s">
        <v>12</v>
      </c>
      <c r="C5" s="5" t="s">
        <v>13</v>
      </c>
      <c r="D5" s="5" t="s">
        <v>14</v>
      </c>
      <c r="E5" s="5" t="s">
        <v>15</v>
      </c>
      <c r="F5" s="5" t="s">
        <v>16</v>
      </c>
      <c r="G5" s="5" t="s">
        <v>17</v>
      </c>
      <c r="H5" s="5" t="s">
        <v>18</v>
      </c>
      <c r="I5" s="5" t="s">
        <v>19</v>
      </c>
      <c r="J5" s="5" t="s">
        <v>20</v>
      </c>
      <c r="K5" s="5" t="s">
        <v>21</v>
      </c>
      <c r="L5" s="5" t="s">
        <v>22</v>
      </c>
      <c r="M5" s="5" t="s">
        <v>23</v>
      </c>
      <c r="N5" s="5" t="s">
        <v>24</v>
      </c>
      <c r="O5" s="5" t="s">
        <v>25</v>
      </c>
      <c r="P5" s="5" t="s">
        <v>26</v>
      </c>
      <c r="Q5" s="5" t="s">
        <v>27</v>
      </c>
      <c r="R5" s="5" t="s">
        <v>28</v>
      </c>
      <c r="S5" s="5" t="s">
        <v>29</v>
      </c>
      <c r="T5" s="5" t="s">
        <v>30</v>
      </c>
      <c r="U5" s="5" t="s">
        <v>31</v>
      </c>
      <c r="V5" s="5" t="s">
        <v>32</v>
      </c>
      <c r="W5" s="5" t="s">
        <v>33</v>
      </c>
      <c r="X5" s="5" t="s">
        <v>34</v>
      </c>
    </row>
    <row r="6" spans="1:24" ht="25.5" customHeight="1" x14ac:dyDescent="0.25">
      <c r="A6" s="19" t="str">
        <f>IF(B6="","",COUNTA(B$5:B6)-1)</f>
        <v/>
      </c>
      <c r="B6" s="20"/>
      <c r="C6" s="7"/>
      <c r="D6" s="8" t="str">
        <f>IFERROR(VLOOKUP($F$3,Data!$A:$B,2,0)&amp;"-S"&amp;TEXT(ROW()-ROW($D$5),"0"),"-S"&amp;TEXT(ROW()-ROW($D$5),"0"))</f>
        <v>-S1</v>
      </c>
      <c r="E6" s="9"/>
      <c r="F6" s="9"/>
      <c r="G6" s="9"/>
      <c r="H6" s="9"/>
      <c r="I6" s="9"/>
      <c r="J6" s="10"/>
      <c r="K6" s="6"/>
      <c r="L6" s="6"/>
      <c r="M6" s="11" t="str">
        <f t="shared" ref="M6:M35" si="0">IFERROR(IF(OR(K6="",L6="",ISNUMBER(SEARCH("متوسط",I6)),ISNUMBER(SEARCH("ليكرت",G6)),ISNUMBER(SEARCH("نوعي",E6))),"",K6+L6),"")</f>
        <v/>
      </c>
      <c r="N6" s="6"/>
      <c r="O6" s="6"/>
      <c r="P6" s="6"/>
      <c r="Q6" s="6"/>
      <c r="R6" s="6"/>
      <c r="S6" s="6"/>
      <c r="T6" s="6"/>
      <c r="U6" s="6"/>
      <c r="V6" s="11" t="str">
        <f t="shared" ref="V6:V35" si="1">IFERROR(IF(COUNT(O6,Q6,S6,U6)=0,"",IF(ISNUMBER(SEARCH("تراكمي",I6)),IF(ISNUMBER(U6),U6,IF(ISNUMBER(S6),S6,IF(ISNUMBER(Q6),Q6,O6))),IF(ISNUMBER(SEARCH("متوسط",I6)),AVERAGE(O6,Q6,S6,U6),IF(AND(ISNUMBER(SEARCH("سنوي",I6)),ISERROR(SEARCH("نصف",I6))),IF(ISNUMBER(U6),U6,""),SUM(O6,Q6,S6,U6))))),"-")</f>
        <v/>
      </c>
      <c r="W6" s="12" t="str">
        <f>IF(OR(NOT(ISNUMBER(L6)),NOT(ISNUMBER(V6))),"",IFERROR(IF(ISNUMBER(SEARCH("تنازلي",H6)),  IF(V6=0,100,(L6/V6)*100),  (V6/L6)*100),"-"))</f>
        <v/>
      </c>
      <c r="X6" s="12" t="str">
        <f t="shared" ref="X6:X35" si="2">IF(AND(ISNUMBER(W6),ISNUMBER(J6)),MIN(W6,100)/100*J6,"")</f>
        <v/>
      </c>
    </row>
    <row r="7" spans="1:24" ht="25.5" customHeight="1" x14ac:dyDescent="0.25">
      <c r="A7" s="19" t="str">
        <f>IF(B7="","",COUNTA(B$5:B7)-1)</f>
        <v/>
      </c>
      <c r="B7" s="20"/>
      <c r="C7" s="7"/>
      <c r="D7" s="8" t="str">
        <f>IFERROR(VLOOKUP($F$3,Data!$A:$B,2,0)&amp;"-S"&amp;TEXT(ROW()-ROW($D$5),"0"),"-S"&amp;TEXT(ROW()-ROW($D$5),"0"))</f>
        <v>-S2</v>
      </c>
      <c r="E7" s="9"/>
      <c r="F7" s="9"/>
      <c r="G7" s="9"/>
      <c r="H7" s="9"/>
      <c r="I7" s="9"/>
      <c r="J7" s="10"/>
      <c r="K7" s="6"/>
      <c r="L7" s="6"/>
      <c r="M7" s="11" t="str">
        <f t="shared" si="0"/>
        <v/>
      </c>
      <c r="N7" s="6"/>
      <c r="O7" s="6"/>
      <c r="P7" s="6"/>
      <c r="Q7" s="6"/>
      <c r="R7" s="6"/>
      <c r="S7" s="6"/>
      <c r="T7" s="6"/>
      <c r="U7" s="6"/>
      <c r="V7" s="11" t="str">
        <f t="shared" si="1"/>
        <v/>
      </c>
      <c r="W7" s="12" t="str">
        <f t="shared" ref="W7:W35" si="3">IF(OR(NOT(ISNUMBER(L7)),NOT(ISNUMBER(V7))),"",IFERROR(IF(ISNUMBER(SEARCH("تنازلي",H7)), IF(V7=0,100,(L7/V7)*100), (V7/L7)*100),"-"))</f>
        <v/>
      </c>
      <c r="X7" s="12" t="str">
        <f t="shared" si="2"/>
        <v/>
      </c>
    </row>
    <row r="8" spans="1:24" ht="25.5" customHeight="1" x14ac:dyDescent="0.25">
      <c r="A8" s="19" t="str">
        <f>IF(B8="","",COUNTA(B$5:B8)-1)</f>
        <v/>
      </c>
      <c r="B8" s="20"/>
      <c r="C8" s="7"/>
      <c r="D8" s="8" t="str">
        <f>IFERROR(VLOOKUP($F$3,Data!$A:$B,2,0)&amp;"-S"&amp;TEXT(ROW()-ROW($D$5),"0"),"-S"&amp;TEXT(ROW()-ROW($D$5),"0"))</f>
        <v>-S3</v>
      </c>
      <c r="E8" s="9"/>
      <c r="F8" s="9"/>
      <c r="G8" s="9"/>
      <c r="H8" s="9"/>
      <c r="I8" s="9"/>
      <c r="J8" s="10"/>
      <c r="K8" s="6"/>
      <c r="L8" s="6"/>
      <c r="M8" s="11" t="str">
        <f t="shared" si="0"/>
        <v/>
      </c>
      <c r="N8" s="6"/>
      <c r="O8" s="6"/>
      <c r="P8" s="6"/>
      <c r="Q8" s="6"/>
      <c r="R8" s="6"/>
      <c r="S8" s="6"/>
      <c r="T8" s="6"/>
      <c r="U8" s="6"/>
      <c r="V8" s="11" t="str">
        <f t="shared" si="1"/>
        <v/>
      </c>
      <c r="W8" s="12" t="str">
        <f t="shared" si="3"/>
        <v/>
      </c>
      <c r="X8" s="12" t="str">
        <f t="shared" si="2"/>
        <v/>
      </c>
    </row>
    <row r="9" spans="1:24" ht="25.5" customHeight="1" x14ac:dyDescent="0.25">
      <c r="A9" s="19" t="str">
        <f>IF(B9="","",COUNTA(B$5:B9)-1)</f>
        <v/>
      </c>
      <c r="B9" s="20"/>
      <c r="C9" s="7"/>
      <c r="D9" s="8" t="str">
        <f>IFERROR(VLOOKUP($F$3,Data!$A:$B,2,0)&amp;"-S"&amp;TEXT(ROW()-ROW($D$5),"0"),"-S"&amp;TEXT(ROW()-ROW($D$5),"0"))</f>
        <v>-S4</v>
      </c>
      <c r="E9" s="9"/>
      <c r="F9" s="9"/>
      <c r="G9" s="9"/>
      <c r="H9" s="9"/>
      <c r="I9" s="9"/>
      <c r="J9" s="10"/>
      <c r="K9" s="6"/>
      <c r="L9" s="6"/>
      <c r="M9" s="11" t="str">
        <f t="shared" si="0"/>
        <v/>
      </c>
      <c r="N9" s="6"/>
      <c r="O9" s="6"/>
      <c r="P9" s="6"/>
      <c r="Q9" s="6"/>
      <c r="R9" s="6"/>
      <c r="S9" s="6"/>
      <c r="T9" s="6"/>
      <c r="U9" s="6"/>
      <c r="V9" s="11" t="str">
        <f t="shared" si="1"/>
        <v/>
      </c>
      <c r="W9" s="12" t="str">
        <f t="shared" si="3"/>
        <v/>
      </c>
      <c r="X9" s="12" t="str">
        <f t="shared" si="2"/>
        <v/>
      </c>
    </row>
    <row r="10" spans="1:24" ht="25.5" customHeight="1" x14ac:dyDescent="0.25">
      <c r="A10" s="19" t="str">
        <f>IF(B10="","",COUNTA(B$5:B10)-1)</f>
        <v/>
      </c>
      <c r="B10" s="20"/>
      <c r="C10" s="7"/>
      <c r="D10" s="8" t="str">
        <f>IFERROR(VLOOKUP($F$3,Data!$A:$B,2,0)&amp;"-S"&amp;TEXT(ROW()-ROW($D$5),"0"),"-S"&amp;TEXT(ROW()-ROW($D$5),"0"))</f>
        <v>-S5</v>
      </c>
      <c r="E10" s="9"/>
      <c r="F10" s="9"/>
      <c r="G10" s="9"/>
      <c r="H10" s="9"/>
      <c r="I10" s="9"/>
      <c r="J10" s="10"/>
      <c r="K10" s="6"/>
      <c r="L10" s="6"/>
      <c r="M10" s="11" t="str">
        <f t="shared" si="0"/>
        <v/>
      </c>
      <c r="N10" s="6"/>
      <c r="O10" s="6"/>
      <c r="P10" s="6"/>
      <c r="Q10" s="6"/>
      <c r="R10" s="6"/>
      <c r="S10" s="6"/>
      <c r="T10" s="6"/>
      <c r="U10" s="6"/>
      <c r="V10" s="11" t="str">
        <f t="shared" si="1"/>
        <v/>
      </c>
      <c r="W10" s="12" t="str">
        <f t="shared" si="3"/>
        <v/>
      </c>
      <c r="X10" s="12" t="str">
        <f t="shared" si="2"/>
        <v/>
      </c>
    </row>
    <row r="11" spans="1:24" ht="25.5" customHeight="1" x14ac:dyDescent="0.25">
      <c r="A11" s="19" t="str">
        <f>IF(B11="","",COUNTA(B$5:B11)-1)</f>
        <v/>
      </c>
      <c r="B11" s="20"/>
      <c r="C11" s="7"/>
      <c r="D11" s="8" t="str">
        <f>IFERROR(VLOOKUP($F$3,Data!$A:$B,2,0)&amp;"-S"&amp;TEXT(ROW()-ROW($D$5),"0"),"-S"&amp;TEXT(ROW()-ROW($D$5),"0"))</f>
        <v>-S6</v>
      </c>
      <c r="E11" s="9"/>
      <c r="F11" s="9"/>
      <c r="G11" s="9"/>
      <c r="H11" s="9"/>
      <c r="I11" s="9"/>
      <c r="J11" s="10"/>
      <c r="K11" s="6"/>
      <c r="L11" s="6"/>
      <c r="M11" s="11" t="str">
        <f t="shared" si="0"/>
        <v/>
      </c>
      <c r="N11" s="6"/>
      <c r="O11" s="6"/>
      <c r="P11" s="6"/>
      <c r="Q11" s="6"/>
      <c r="R11" s="6"/>
      <c r="S11" s="6"/>
      <c r="T11" s="6"/>
      <c r="U11" s="6"/>
      <c r="V11" s="11" t="str">
        <f t="shared" si="1"/>
        <v/>
      </c>
      <c r="W11" s="12" t="str">
        <f t="shared" si="3"/>
        <v/>
      </c>
      <c r="X11" s="12" t="str">
        <f t="shared" si="2"/>
        <v/>
      </c>
    </row>
    <row r="12" spans="1:24" ht="25.5" customHeight="1" x14ac:dyDescent="0.25">
      <c r="A12" s="19" t="str">
        <f>IF(B12="","",COUNTA(B$5:B12)-1)</f>
        <v/>
      </c>
      <c r="B12" s="20"/>
      <c r="C12" s="7"/>
      <c r="D12" s="8" t="str">
        <f>IFERROR(VLOOKUP($F$3,Data!$A:$B,2,0)&amp;"-S"&amp;TEXT(ROW()-ROW($D$5),"0"),"-S"&amp;TEXT(ROW()-ROW($D$5),"0"))</f>
        <v>-S7</v>
      </c>
      <c r="E12" s="9"/>
      <c r="F12" s="9"/>
      <c r="G12" s="9"/>
      <c r="H12" s="9"/>
      <c r="I12" s="9"/>
      <c r="J12" s="10"/>
      <c r="K12" s="6"/>
      <c r="L12" s="6"/>
      <c r="M12" s="11" t="str">
        <f t="shared" si="0"/>
        <v/>
      </c>
      <c r="N12" s="6"/>
      <c r="O12" s="6"/>
      <c r="P12" s="6"/>
      <c r="Q12" s="6"/>
      <c r="R12" s="6"/>
      <c r="S12" s="6"/>
      <c r="T12" s="6"/>
      <c r="U12" s="6"/>
      <c r="V12" s="11" t="str">
        <f t="shared" si="1"/>
        <v/>
      </c>
      <c r="W12" s="12" t="str">
        <f t="shared" si="3"/>
        <v/>
      </c>
      <c r="X12" s="12" t="str">
        <f t="shared" si="2"/>
        <v/>
      </c>
    </row>
    <row r="13" spans="1:24" ht="25.5" customHeight="1" x14ac:dyDescent="0.25">
      <c r="A13" s="19" t="str">
        <f>IF(B13="","",COUNTA(B$5:B13)-1)</f>
        <v/>
      </c>
      <c r="B13" s="20"/>
      <c r="C13" s="7"/>
      <c r="D13" s="8" t="str">
        <f>IFERROR(VLOOKUP($F$3,Data!$A:$B,2,0)&amp;"-S"&amp;TEXT(ROW()-ROW($D$5),"0"),"-S"&amp;TEXT(ROW()-ROW($D$5),"0"))</f>
        <v>-S8</v>
      </c>
      <c r="E13" s="9"/>
      <c r="F13" s="9"/>
      <c r="G13" s="9"/>
      <c r="H13" s="9"/>
      <c r="I13" s="9"/>
      <c r="J13" s="10"/>
      <c r="K13" s="6"/>
      <c r="L13" s="6"/>
      <c r="M13" s="11" t="str">
        <f t="shared" si="0"/>
        <v/>
      </c>
      <c r="N13" s="6"/>
      <c r="O13" s="6"/>
      <c r="P13" s="6"/>
      <c r="Q13" s="6"/>
      <c r="R13" s="6"/>
      <c r="S13" s="6"/>
      <c r="T13" s="6"/>
      <c r="U13" s="6"/>
      <c r="V13" s="11" t="str">
        <f t="shared" si="1"/>
        <v/>
      </c>
      <c r="W13" s="12" t="str">
        <f t="shared" si="3"/>
        <v/>
      </c>
      <c r="X13" s="12" t="str">
        <f t="shared" si="2"/>
        <v/>
      </c>
    </row>
    <row r="14" spans="1:24" ht="25.5" customHeight="1" x14ac:dyDescent="0.25">
      <c r="A14" s="19" t="str">
        <f>IF(B14="","",COUNTA(B$5:B14)-1)</f>
        <v/>
      </c>
      <c r="B14" s="20"/>
      <c r="C14" s="7"/>
      <c r="D14" s="8" t="str">
        <f>IFERROR(VLOOKUP($F$3,Data!$A:$B,2,0)&amp;"-S"&amp;TEXT(ROW()-ROW($D$5),"0"),"-S"&amp;TEXT(ROW()-ROW($D$5),"0"))</f>
        <v>-S9</v>
      </c>
      <c r="E14" s="9"/>
      <c r="F14" s="9"/>
      <c r="G14" s="9"/>
      <c r="H14" s="9"/>
      <c r="I14" s="9"/>
      <c r="J14" s="10"/>
      <c r="K14" s="6"/>
      <c r="L14" s="6"/>
      <c r="M14" s="11" t="str">
        <f t="shared" si="0"/>
        <v/>
      </c>
      <c r="N14" s="6"/>
      <c r="O14" s="6"/>
      <c r="P14" s="6"/>
      <c r="Q14" s="6"/>
      <c r="R14" s="6"/>
      <c r="S14" s="6"/>
      <c r="T14" s="6"/>
      <c r="U14" s="6"/>
      <c r="V14" s="11" t="str">
        <f t="shared" si="1"/>
        <v/>
      </c>
      <c r="W14" s="12" t="str">
        <f t="shared" si="3"/>
        <v/>
      </c>
      <c r="X14" s="12" t="str">
        <f t="shared" si="2"/>
        <v/>
      </c>
    </row>
    <row r="15" spans="1:24" ht="25.5" customHeight="1" x14ac:dyDescent="0.25">
      <c r="A15" s="19" t="str">
        <f>IF(B15="","",COUNTA(B$5:B15)-1)</f>
        <v/>
      </c>
      <c r="B15" s="20"/>
      <c r="C15" s="7"/>
      <c r="D15" s="8" t="str">
        <f>IFERROR(VLOOKUP($F$3,Data!$A:$B,2,0)&amp;"-S"&amp;TEXT(ROW()-ROW($D$5),"0"),"-S"&amp;TEXT(ROW()-ROW($D$5),"0"))</f>
        <v>-S10</v>
      </c>
      <c r="E15" s="9"/>
      <c r="F15" s="9"/>
      <c r="G15" s="9"/>
      <c r="H15" s="9"/>
      <c r="I15" s="9"/>
      <c r="J15" s="10"/>
      <c r="K15" s="6"/>
      <c r="L15" s="6"/>
      <c r="M15" s="11" t="str">
        <f t="shared" si="0"/>
        <v/>
      </c>
      <c r="N15" s="6"/>
      <c r="O15" s="6"/>
      <c r="P15" s="6"/>
      <c r="Q15" s="6"/>
      <c r="R15" s="6"/>
      <c r="S15" s="6"/>
      <c r="T15" s="6"/>
      <c r="U15" s="6"/>
      <c r="V15" s="11" t="str">
        <f t="shared" si="1"/>
        <v/>
      </c>
      <c r="W15" s="12" t="str">
        <f t="shared" si="3"/>
        <v/>
      </c>
      <c r="X15" s="12" t="str">
        <f t="shared" si="2"/>
        <v/>
      </c>
    </row>
    <row r="16" spans="1:24" ht="25.5" customHeight="1" x14ac:dyDescent="0.25">
      <c r="A16" s="19" t="str">
        <f>IF(B16="","",COUNTA(B$5:B16)-1)</f>
        <v/>
      </c>
      <c r="B16" s="20"/>
      <c r="C16" s="7"/>
      <c r="D16" s="8" t="str">
        <f>IFERROR(VLOOKUP($F$3,Data!$A:$B,2,0)&amp;"-S"&amp;TEXT(ROW()-ROW($D$5),"0"),"-S"&amp;TEXT(ROW()-ROW($D$5),"0"))</f>
        <v>-S11</v>
      </c>
      <c r="E16" s="9"/>
      <c r="F16" s="9"/>
      <c r="G16" s="9"/>
      <c r="H16" s="9"/>
      <c r="I16" s="9"/>
      <c r="J16" s="10"/>
      <c r="K16" s="6"/>
      <c r="L16" s="6"/>
      <c r="M16" s="11" t="str">
        <f t="shared" si="0"/>
        <v/>
      </c>
      <c r="N16" s="6"/>
      <c r="O16" s="6"/>
      <c r="P16" s="6"/>
      <c r="Q16" s="6"/>
      <c r="R16" s="6"/>
      <c r="S16" s="6"/>
      <c r="T16" s="6"/>
      <c r="U16" s="6"/>
      <c r="V16" s="11" t="str">
        <f t="shared" si="1"/>
        <v/>
      </c>
      <c r="W16" s="12" t="str">
        <f t="shared" si="3"/>
        <v/>
      </c>
      <c r="X16" s="12" t="str">
        <f t="shared" si="2"/>
        <v/>
      </c>
    </row>
    <row r="17" spans="1:24" ht="25.5" customHeight="1" x14ac:dyDescent="0.25">
      <c r="A17" s="19" t="str">
        <f>IF(B17="","",COUNTA(B$5:B17)-1)</f>
        <v/>
      </c>
      <c r="B17" s="20"/>
      <c r="C17" s="7"/>
      <c r="D17" s="8" t="str">
        <f>IFERROR(VLOOKUP($F$3,Data!$A:$B,2,0)&amp;"-S"&amp;TEXT(ROW()-ROW($D$5),"0"),"-S"&amp;TEXT(ROW()-ROW($D$5),"0"))</f>
        <v>-S12</v>
      </c>
      <c r="E17" s="9"/>
      <c r="F17" s="9"/>
      <c r="G17" s="9"/>
      <c r="H17" s="9"/>
      <c r="I17" s="9"/>
      <c r="J17" s="10"/>
      <c r="K17" s="6"/>
      <c r="L17" s="6"/>
      <c r="M17" s="11" t="str">
        <f t="shared" si="0"/>
        <v/>
      </c>
      <c r="N17" s="6"/>
      <c r="O17" s="6"/>
      <c r="P17" s="6"/>
      <c r="Q17" s="6"/>
      <c r="R17" s="6"/>
      <c r="S17" s="6"/>
      <c r="T17" s="6"/>
      <c r="U17" s="6"/>
      <c r="V17" s="11" t="str">
        <f t="shared" si="1"/>
        <v/>
      </c>
      <c r="W17" s="12" t="str">
        <f t="shared" si="3"/>
        <v/>
      </c>
      <c r="X17" s="12" t="str">
        <f t="shared" si="2"/>
        <v/>
      </c>
    </row>
    <row r="18" spans="1:24" ht="25.5" customHeight="1" x14ac:dyDescent="0.25">
      <c r="A18" s="19" t="str">
        <f>IF(B18="","",COUNTA(B$5:B18)-1)</f>
        <v/>
      </c>
      <c r="B18" s="20"/>
      <c r="C18" s="7"/>
      <c r="D18" s="8" t="str">
        <f>IFERROR(VLOOKUP($F$3,Data!$A:$B,2,0)&amp;"-S"&amp;TEXT(ROW()-ROW($D$5),"0"),"-S"&amp;TEXT(ROW()-ROW($D$5),"0"))</f>
        <v>-S13</v>
      </c>
      <c r="E18" s="9"/>
      <c r="F18" s="9"/>
      <c r="G18" s="9"/>
      <c r="H18" s="9"/>
      <c r="I18" s="9"/>
      <c r="J18" s="10"/>
      <c r="K18" s="6"/>
      <c r="L18" s="6"/>
      <c r="M18" s="11" t="str">
        <f t="shared" si="0"/>
        <v/>
      </c>
      <c r="N18" s="6"/>
      <c r="O18" s="6"/>
      <c r="P18" s="6"/>
      <c r="Q18" s="6"/>
      <c r="R18" s="6"/>
      <c r="S18" s="6"/>
      <c r="T18" s="6"/>
      <c r="U18" s="6"/>
      <c r="V18" s="11" t="str">
        <f t="shared" si="1"/>
        <v/>
      </c>
      <c r="W18" s="12" t="str">
        <f t="shared" si="3"/>
        <v/>
      </c>
      <c r="X18" s="12" t="str">
        <f t="shared" si="2"/>
        <v/>
      </c>
    </row>
    <row r="19" spans="1:24" ht="25.5" customHeight="1" x14ac:dyDescent="0.25">
      <c r="A19" s="19" t="str">
        <f>IF(B19="","",COUNTA(B$5:B19)-1)</f>
        <v/>
      </c>
      <c r="B19" s="20"/>
      <c r="C19" s="7"/>
      <c r="D19" s="8" t="str">
        <f>IFERROR(VLOOKUP($F$3,Data!$A:$B,2,0)&amp;"-S"&amp;TEXT(ROW()-ROW($D$5),"0"),"-S"&amp;TEXT(ROW()-ROW($D$5),"0"))</f>
        <v>-S14</v>
      </c>
      <c r="E19" s="9"/>
      <c r="F19" s="9"/>
      <c r="G19" s="9"/>
      <c r="H19" s="9"/>
      <c r="I19" s="9"/>
      <c r="J19" s="10"/>
      <c r="K19" s="6"/>
      <c r="L19" s="6"/>
      <c r="M19" s="11" t="str">
        <f t="shared" si="0"/>
        <v/>
      </c>
      <c r="N19" s="6"/>
      <c r="O19" s="6"/>
      <c r="P19" s="6"/>
      <c r="Q19" s="6"/>
      <c r="R19" s="6"/>
      <c r="S19" s="6"/>
      <c r="T19" s="6"/>
      <c r="U19" s="6"/>
      <c r="V19" s="11" t="str">
        <f t="shared" si="1"/>
        <v/>
      </c>
      <c r="W19" s="12" t="str">
        <f t="shared" si="3"/>
        <v/>
      </c>
      <c r="X19" s="12" t="str">
        <f t="shared" si="2"/>
        <v/>
      </c>
    </row>
    <row r="20" spans="1:24" ht="25.5" customHeight="1" x14ac:dyDescent="0.25">
      <c r="A20" s="19" t="str">
        <f>IF(B20="","",COUNTA(B$5:B20)-1)</f>
        <v/>
      </c>
      <c r="B20" s="20"/>
      <c r="C20" s="7"/>
      <c r="D20" s="8" t="str">
        <f>IFERROR(VLOOKUP($F$3,Data!$A:$B,2,0)&amp;"-S"&amp;TEXT(ROW()-ROW($D$5),"0"),"-S"&amp;TEXT(ROW()-ROW($D$5),"0"))</f>
        <v>-S15</v>
      </c>
      <c r="E20" s="9"/>
      <c r="F20" s="9"/>
      <c r="G20" s="9"/>
      <c r="H20" s="9"/>
      <c r="I20" s="9"/>
      <c r="J20" s="10"/>
      <c r="K20" s="6"/>
      <c r="L20" s="6"/>
      <c r="M20" s="11" t="str">
        <f t="shared" si="0"/>
        <v/>
      </c>
      <c r="N20" s="6"/>
      <c r="O20" s="6"/>
      <c r="P20" s="6"/>
      <c r="Q20" s="6"/>
      <c r="R20" s="6"/>
      <c r="S20" s="6"/>
      <c r="T20" s="6"/>
      <c r="U20" s="6"/>
      <c r="V20" s="11" t="str">
        <f t="shared" si="1"/>
        <v/>
      </c>
      <c r="W20" s="12" t="str">
        <f t="shared" si="3"/>
        <v/>
      </c>
      <c r="X20" s="12" t="str">
        <f t="shared" si="2"/>
        <v/>
      </c>
    </row>
    <row r="21" spans="1:24" ht="25.5" customHeight="1" x14ac:dyDescent="0.25">
      <c r="A21" s="19" t="str">
        <f>IF(B21="","",COUNTA(B$5:B21)-1)</f>
        <v/>
      </c>
      <c r="B21" s="20"/>
      <c r="C21" s="7"/>
      <c r="D21" s="8" t="str">
        <f>IFERROR(VLOOKUP($F$3,Data!$A:$B,2,0)&amp;"-S"&amp;TEXT(ROW()-ROW($D$5),"0"),"-S"&amp;TEXT(ROW()-ROW($D$5),"0"))</f>
        <v>-S16</v>
      </c>
      <c r="E21" s="9"/>
      <c r="F21" s="9"/>
      <c r="G21" s="9"/>
      <c r="H21" s="9"/>
      <c r="I21" s="9"/>
      <c r="J21" s="10"/>
      <c r="K21" s="6"/>
      <c r="L21" s="6"/>
      <c r="M21" s="11" t="str">
        <f t="shared" si="0"/>
        <v/>
      </c>
      <c r="N21" s="6"/>
      <c r="O21" s="6"/>
      <c r="P21" s="6"/>
      <c r="Q21" s="6"/>
      <c r="R21" s="6"/>
      <c r="S21" s="6"/>
      <c r="T21" s="6"/>
      <c r="U21" s="6"/>
      <c r="V21" s="11" t="str">
        <f t="shared" si="1"/>
        <v/>
      </c>
      <c r="W21" s="12" t="str">
        <f t="shared" si="3"/>
        <v/>
      </c>
      <c r="X21" s="12" t="str">
        <f t="shared" si="2"/>
        <v/>
      </c>
    </row>
    <row r="22" spans="1:24" ht="25.5" customHeight="1" x14ac:dyDescent="0.25">
      <c r="A22" s="19" t="str">
        <f>IF(B22="","",COUNTA(B$5:B22)-1)</f>
        <v/>
      </c>
      <c r="B22" s="20"/>
      <c r="C22" s="7"/>
      <c r="D22" s="8" t="str">
        <f>IFERROR(VLOOKUP($F$3,Data!$A:$B,2,0)&amp;"-S"&amp;TEXT(ROW()-ROW($D$5),"0"),"-S"&amp;TEXT(ROW()-ROW($D$5),"0"))</f>
        <v>-S17</v>
      </c>
      <c r="E22" s="9"/>
      <c r="F22" s="9"/>
      <c r="G22" s="9"/>
      <c r="H22" s="9"/>
      <c r="I22" s="9"/>
      <c r="J22" s="10"/>
      <c r="K22" s="6"/>
      <c r="L22" s="6"/>
      <c r="M22" s="11" t="str">
        <f t="shared" si="0"/>
        <v/>
      </c>
      <c r="N22" s="6"/>
      <c r="O22" s="6"/>
      <c r="P22" s="6"/>
      <c r="Q22" s="6"/>
      <c r="R22" s="6"/>
      <c r="S22" s="6"/>
      <c r="T22" s="6"/>
      <c r="U22" s="6"/>
      <c r="V22" s="11" t="str">
        <f t="shared" si="1"/>
        <v/>
      </c>
      <c r="W22" s="12" t="str">
        <f t="shared" si="3"/>
        <v/>
      </c>
      <c r="X22" s="12" t="str">
        <f t="shared" si="2"/>
        <v/>
      </c>
    </row>
    <row r="23" spans="1:24" ht="25.5" customHeight="1" x14ac:dyDescent="0.25">
      <c r="A23" s="19" t="str">
        <f>IF(B23="","",COUNTA(B$5:B23)-1)</f>
        <v/>
      </c>
      <c r="B23" s="20"/>
      <c r="C23" s="7"/>
      <c r="D23" s="8" t="str">
        <f>IFERROR(VLOOKUP($F$3,Data!$A:$B,2,0)&amp;"-S"&amp;TEXT(ROW()-ROW($D$5),"0"),"-S"&amp;TEXT(ROW()-ROW($D$5),"0"))</f>
        <v>-S18</v>
      </c>
      <c r="E23" s="9"/>
      <c r="F23" s="9"/>
      <c r="G23" s="9"/>
      <c r="H23" s="9"/>
      <c r="I23" s="9"/>
      <c r="J23" s="10"/>
      <c r="K23" s="6"/>
      <c r="L23" s="6"/>
      <c r="M23" s="11" t="str">
        <f t="shared" si="0"/>
        <v/>
      </c>
      <c r="N23" s="6"/>
      <c r="O23" s="6"/>
      <c r="P23" s="6"/>
      <c r="Q23" s="6"/>
      <c r="R23" s="6"/>
      <c r="S23" s="6"/>
      <c r="T23" s="6"/>
      <c r="U23" s="6"/>
      <c r="V23" s="11" t="str">
        <f t="shared" si="1"/>
        <v/>
      </c>
      <c r="W23" s="12" t="str">
        <f t="shared" si="3"/>
        <v/>
      </c>
      <c r="X23" s="12" t="str">
        <f t="shared" si="2"/>
        <v/>
      </c>
    </row>
    <row r="24" spans="1:24" ht="25.5" customHeight="1" x14ac:dyDescent="0.25">
      <c r="A24" s="19" t="str">
        <f>IF(B24="","",COUNTA(B$5:B24)-1)</f>
        <v/>
      </c>
      <c r="B24" s="20"/>
      <c r="C24" s="7"/>
      <c r="D24" s="8" t="str">
        <f>IFERROR(VLOOKUP($F$3,Data!$A:$B,2,0)&amp;"-S"&amp;TEXT(ROW()-ROW($D$5),"0"),"-S"&amp;TEXT(ROW()-ROW($D$5),"0"))</f>
        <v>-S19</v>
      </c>
      <c r="E24" s="9"/>
      <c r="F24" s="9"/>
      <c r="G24" s="9"/>
      <c r="H24" s="9"/>
      <c r="I24" s="9"/>
      <c r="J24" s="10"/>
      <c r="K24" s="6"/>
      <c r="L24" s="6"/>
      <c r="M24" s="11" t="str">
        <f t="shared" si="0"/>
        <v/>
      </c>
      <c r="N24" s="6"/>
      <c r="O24" s="6"/>
      <c r="P24" s="6"/>
      <c r="Q24" s="6"/>
      <c r="R24" s="6"/>
      <c r="S24" s="6"/>
      <c r="T24" s="6"/>
      <c r="U24" s="6"/>
      <c r="V24" s="11" t="str">
        <f t="shared" si="1"/>
        <v/>
      </c>
      <c r="W24" s="12" t="str">
        <f t="shared" si="3"/>
        <v/>
      </c>
      <c r="X24" s="12" t="str">
        <f t="shared" si="2"/>
        <v/>
      </c>
    </row>
    <row r="25" spans="1:24" ht="25.5" customHeight="1" x14ac:dyDescent="0.25">
      <c r="A25" s="19" t="str">
        <f>IF(B25="","",COUNTA(B$5:B25)-1)</f>
        <v/>
      </c>
      <c r="B25" s="20"/>
      <c r="C25" s="7"/>
      <c r="D25" s="8" t="str">
        <f>IFERROR(VLOOKUP($F$3,Data!$A:$B,2,0)&amp;"-S"&amp;TEXT(ROW()-ROW($D$5),"0"),"-S"&amp;TEXT(ROW()-ROW($D$5),"0"))</f>
        <v>-S20</v>
      </c>
      <c r="E25" s="9"/>
      <c r="F25" s="9"/>
      <c r="G25" s="9"/>
      <c r="H25" s="9"/>
      <c r="I25" s="9"/>
      <c r="J25" s="10"/>
      <c r="K25" s="6"/>
      <c r="L25" s="6"/>
      <c r="M25" s="11" t="str">
        <f t="shared" si="0"/>
        <v/>
      </c>
      <c r="N25" s="6"/>
      <c r="O25" s="6"/>
      <c r="P25" s="6"/>
      <c r="Q25" s="6"/>
      <c r="R25" s="6"/>
      <c r="S25" s="6"/>
      <c r="T25" s="6"/>
      <c r="U25" s="6"/>
      <c r="V25" s="11" t="str">
        <f t="shared" si="1"/>
        <v/>
      </c>
      <c r="W25" s="12" t="str">
        <f t="shared" si="3"/>
        <v/>
      </c>
      <c r="X25" s="12" t="str">
        <f t="shared" si="2"/>
        <v/>
      </c>
    </row>
    <row r="26" spans="1:24" ht="25.5" customHeight="1" x14ac:dyDescent="0.25">
      <c r="A26" s="19" t="str">
        <f>IF(B26="","",COUNTA(B$5:B26)-1)</f>
        <v/>
      </c>
      <c r="B26" s="20"/>
      <c r="C26" s="7"/>
      <c r="D26" s="8" t="str">
        <f>IFERROR(VLOOKUP($F$3,Data!$A:$B,2,0)&amp;"-S"&amp;TEXT(ROW()-ROW($D$5),"0"),"-S"&amp;TEXT(ROW()-ROW($D$5),"0"))</f>
        <v>-S21</v>
      </c>
      <c r="E26" s="9"/>
      <c r="F26" s="9"/>
      <c r="G26" s="9"/>
      <c r="H26" s="9"/>
      <c r="I26" s="9"/>
      <c r="J26" s="10"/>
      <c r="K26" s="6"/>
      <c r="L26" s="6"/>
      <c r="M26" s="11" t="str">
        <f t="shared" si="0"/>
        <v/>
      </c>
      <c r="N26" s="6"/>
      <c r="O26" s="6"/>
      <c r="P26" s="6"/>
      <c r="Q26" s="6"/>
      <c r="R26" s="6"/>
      <c r="S26" s="6"/>
      <c r="T26" s="6"/>
      <c r="U26" s="6"/>
      <c r="V26" s="11" t="str">
        <f t="shared" si="1"/>
        <v/>
      </c>
      <c r="W26" s="12" t="str">
        <f t="shared" si="3"/>
        <v/>
      </c>
      <c r="X26" s="12" t="str">
        <f t="shared" si="2"/>
        <v/>
      </c>
    </row>
    <row r="27" spans="1:24" ht="25.5" customHeight="1" x14ac:dyDescent="0.25">
      <c r="A27" s="19" t="str">
        <f>IF(B27="","",COUNTA(B$5:B27)-1)</f>
        <v/>
      </c>
      <c r="B27" s="20"/>
      <c r="C27" s="7"/>
      <c r="D27" s="8" t="str">
        <f>IFERROR(VLOOKUP($F$3,Data!$A:$B,2,0)&amp;"-S"&amp;TEXT(ROW()-ROW($D$5),"0"),"-S"&amp;TEXT(ROW()-ROW($D$5),"0"))</f>
        <v>-S22</v>
      </c>
      <c r="E27" s="9"/>
      <c r="F27" s="9"/>
      <c r="G27" s="9"/>
      <c r="H27" s="9"/>
      <c r="I27" s="9"/>
      <c r="J27" s="10"/>
      <c r="K27" s="6"/>
      <c r="L27" s="6"/>
      <c r="M27" s="11" t="str">
        <f t="shared" si="0"/>
        <v/>
      </c>
      <c r="N27" s="6"/>
      <c r="O27" s="6"/>
      <c r="P27" s="6"/>
      <c r="Q27" s="6"/>
      <c r="R27" s="6"/>
      <c r="S27" s="6"/>
      <c r="T27" s="6"/>
      <c r="U27" s="6"/>
      <c r="V27" s="11" t="str">
        <f t="shared" si="1"/>
        <v/>
      </c>
      <c r="W27" s="12" t="str">
        <f t="shared" si="3"/>
        <v/>
      </c>
      <c r="X27" s="12" t="str">
        <f t="shared" si="2"/>
        <v/>
      </c>
    </row>
    <row r="28" spans="1:24" ht="25.5" customHeight="1" x14ac:dyDescent="0.25">
      <c r="A28" s="19" t="str">
        <f>IF(B28="","",COUNTA(B$5:B28)-1)</f>
        <v/>
      </c>
      <c r="B28" s="20"/>
      <c r="C28" s="7"/>
      <c r="D28" s="8" t="str">
        <f>IFERROR(VLOOKUP($F$3,Data!$A:$B,2,0)&amp;"-S"&amp;TEXT(ROW()-ROW($D$5),"0"),"-S"&amp;TEXT(ROW()-ROW($D$5),"0"))</f>
        <v>-S23</v>
      </c>
      <c r="E28" s="9"/>
      <c r="F28" s="9"/>
      <c r="G28" s="9"/>
      <c r="H28" s="9"/>
      <c r="I28" s="9"/>
      <c r="J28" s="10"/>
      <c r="K28" s="6"/>
      <c r="L28" s="6"/>
      <c r="M28" s="11" t="str">
        <f t="shared" si="0"/>
        <v/>
      </c>
      <c r="N28" s="6"/>
      <c r="O28" s="6"/>
      <c r="P28" s="6"/>
      <c r="Q28" s="6"/>
      <c r="R28" s="6"/>
      <c r="S28" s="6"/>
      <c r="T28" s="6"/>
      <c r="U28" s="6"/>
      <c r="V28" s="11" t="str">
        <f t="shared" si="1"/>
        <v/>
      </c>
      <c r="W28" s="12" t="str">
        <f t="shared" si="3"/>
        <v/>
      </c>
      <c r="X28" s="12" t="str">
        <f t="shared" si="2"/>
        <v/>
      </c>
    </row>
    <row r="29" spans="1:24" ht="25.5" customHeight="1" x14ac:dyDescent="0.25">
      <c r="A29" s="19" t="str">
        <f>IF(B29="","",COUNTA(B$5:B29)-1)</f>
        <v/>
      </c>
      <c r="B29" s="20"/>
      <c r="C29" s="7"/>
      <c r="D29" s="8" t="str">
        <f>IFERROR(VLOOKUP($F$3,Data!$A:$B,2,0)&amp;"-S"&amp;TEXT(ROW()-ROW($D$5),"0"),"-S"&amp;TEXT(ROW()-ROW($D$5),"0"))</f>
        <v>-S24</v>
      </c>
      <c r="E29" s="9"/>
      <c r="F29" s="9"/>
      <c r="G29" s="9"/>
      <c r="H29" s="9"/>
      <c r="I29" s="9"/>
      <c r="J29" s="10"/>
      <c r="K29" s="6"/>
      <c r="L29" s="6"/>
      <c r="M29" s="11" t="str">
        <f t="shared" si="0"/>
        <v/>
      </c>
      <c r="N29" s="6"/>
      <c r="O29" s="6"/>
      <c r="P29" s="6"/>
      <c r="Q29" s="6"/>
      <c r="R29" s="6"/>
      <c r="S29" s="6"/>
      <c r="T29" s="6"/>
      <c r="U29" s="6"/>
      <c r="V29" s="11" t="str">
        <f t="shared" si="1"/>
        <v/>
      </c>
      <c r="W29" s="12" t="str">
        <f t="shared" si="3"/>
        <v/>
      </c>
      <c r="X29" s="12" t="str">
        <f t="shared" si="2"/>
        <v/>
      </c>
    </row>
    <row r="30" spans="1:24" ht="25.5" customHeight="1" x14ac:dyDescent="0.25">
      <c r="A30" s="19" t="str">
        <f>IF(B30="","",COUNTA(B$5:B30)-1)</f>
        <v/>
      </c>
      <c r="B30" s="20"/>
      <c r="C30" s="7"/>
      <c r="D30" s="8" t="str">
        <f>IFERROR(VLOOKUP($F$3,Data!$A:$B,2,0)&amp;"-S"&amp;TEXT(ROW()-ROW($D$5),"0"),"-S"&amp;TEXT(ROW()-ROW($D$5),"0"))</f>
        <v>-S25</v>
      </c>
      <c r="E30" s="9"/>
      <c r="F30" s="9"/>
      <c r="G30" s="9"/>
      <c r="H30" s="9"/>
      <c r="I30" s="9"/>
      <c r="J30" s="10"/>
      <c r="K30" s="6"/>
      <c r="L30" s="6"/>
      <c r="M30" s="11" t="str">
        <f t="shared" si="0"/>
        <v/>
      </c>
      <c r="N30" s="6"/>
      <c r="O30" s="6"/>
      <c r="P30" s="6"/>
      <c r="Q30" s="6"/>
      <c r="R30" s="6"/>
      <c r="S30" s="6"/>
      <c r="T30" s="6"/>
      <c r="U30" s="6"/>
      <c r="V30" s="11" t="str">
        <f t="shared" si="1"/>
        <v/>
      </c>
      <c r="W30" s="12" t="str">
        <f t="shared" si="3"/>
        <v/>
      </c>
      <c r="X30" s="12" t="str">
        <f t="shared" si="2"/>
        <v/>
      </c>
    </row>
    <row r="31" spans="1:24" ht="25.5" customHeight="1" x14ac:dyDescent="0.25">
      <c r="A31" s="19" t="str">
        <f>IF(B31="","",COUNTA(B$5:B31)-1)</f>
        <v/>
      </c>
      <c r="B31" s="20"/>
      <c r="C31" s="7"/>
      <c r="D31" s="8" t="str">
        <f>IFERROR(VLOOKUP($F$3,Data!$A:$B,2,0)&amp;"-S"&amp;TEXT(ROW()-ROW($D$5),"0"),"-S"&amp;TEXT(ROW()-ROW($D$5),"0"))</f>
        <v>-S26</v>
      </c>
      <c r="E31" s="9"/>
      <c r="F31" s="9"/>
      <c r="G31" s="9"/>
      <c r="H31" s="9"/>
      <c r="I31" s="9"/>
      <c r="J31" s="10"/>
      <c r="K31" s="6"/>
      <c r="L31" s="6"/>
      <c r="M31" s="11" t="str">
        <f t="shared" si="0"/>
        <v/>
      </c>
      <c r="N31" s="6"/>
      <c r="O31" s="6"/>
      <c r="P31" s="6"/>
      <c r="Q31" s="6"/>
      <c r="R31" s="6"/>
      <c r="S31" s="6"/>
      <c r="T31" s="6"/>
      <c r="U31" s="6"/>
      <c r="V31" s="11" t="str">
        <f t="shared" si="1"/>
        <v/>
      </c>
      <c r="W31" s="12" t="str">
        <f t="shared" si="3"/>
        <v/>
      </c>
      <c r="X31" s="12" t="str">
        <f t="shared" si="2"/>
        <v/>
      </c>
    </row>
    <row r="32" spans="1:24" ht="25.5" customHeight="1" x14ac:dyDescent="0.25">
      <c r="A32" s="19" t="str">
        <f>IF(B32="","",COUNTA(B$5:B32)-1)</f>
        <v/>
      </c>
      <c r="B32" s="20"/>
      <c r="C32" s="7"/>
      <c r="D32" s="8" t="str">
        <f>IFERROR(VLOOKUP($F$3,Data!$A:$B,2,0)&amp;"-S"&amp;TEXT(ROW()-ROW($D$5),"0"),"-S"&amp;TEXT(ROW()-ROW($D$5),"0"))</f>
        <v>-S27</v>
      </c>
      <c r="E32" s="9"/>
      <c r="F32" s="9"/>
      <c r="G32" s="9"/>
      <c r="H32" s="9"/>
      <c r="I32" s="9"/>
      <c r="J32" s="10"/>
      <c r="K32" s="6"/>
      <c r="L32" s="6"/>
      <c r="M32" s="11" t="str">
        <f t="shared" si="0"/>
        <v/>
      </c>
      <c r="N32" s="6"/>
      <c r="O32" s="6"/>
      <c r="P32" s="6"/>
      <c r="Q32" s="6"/>
      <c r="R32" s="6"/>
      <c r="S32" s="6"/>
      <c r="T32" s="6"/>
      <c r="U32" s="6"/>
      <c r="V32" s="11" t="str">
        <f t="shared" si="1"/>
        <v/>
      </c>
      <c r="W32" s="12" t="str">
        <f t="shared" si="3"/>
        <v/>
      </c>
      <c r="X32" s="12" t="str">
        <f t="shared" si="2"/>
        <v/>
      </c>
    </row>
    <row r="33" spans="1:24" ht="25.5" customHeight="1" x14ac:dyDescent="0.25">
      <c r="A33" s="19" t="str">
        <f>IF(B33="","",COUNTA(B$5:B33)-1)</f>
        <v/>
      </c>
      <c r="B33" s="20"/>
      <c r="C33" s="7"/>
      <c r="D33" s="8" t="str">
        <f>IFERROR(VLOOKUP($F$3,Data!$A:$B,2,0)&amp;"-S"&amp;TEXT(ROW()-ROW($D$5),"0"),"-S"&amp;TEXT(ROW()-ROW($D$5),"0"))</f>
        <v>-S28</v>
      </c>
      <c r="E33" s="9"/>
      <c r="F33" s="9"/>
      <c r="G33" s="9"/>
      <c r="H33" s="9"/>
      <c r="I33" s="9"/>
      <c r="J33" s="10"/>
      <c r="K33" s="6"/>
      <c r="L33" s="6"/>
      <c r="M33" s="11" t="str">
        <f t="shared" si="0"/>
        <v/>
      </c>
      <c r="N33" s="6"/>
      <c r="O33" s="6"/>
      <c r="P33" s="6"/>
      <c r="Q33" s="6"/>
      <c r="R33" s="6"/>
      <c r="S33" s="6"/>
      <c r="T33" s="6"/>
      <c r="U33" s="6"/>
      <c r="V33" s="11" t="str">
        <f t="shared" si="1"/>
        <v/>
      </c>
      <c r="W33" s="12" t="str">
        <f t="shared" si="3"/>
        <v/>
      </c>
      <c r="X33" s="12" t="str">
        <f t="shared" si="2"/>
        <v/>
      </c>
    </row>
    <row r="34" spans="1:24" ht="25.5" customHeight="1" x14ac:dyDescent="0.25">
      <c r="A34" s="19" t="str">
        <f>IF(B34="","",COUNTA(B$5:B34)-1)</f>
        <v/>
      </c>
      <c r="B34" s="20"/>
      <c r="C34" s="7"/>
      <c r="D34" s="8" t="str">
        <f>IFERROR(VLOOKUP($F$3,Data!$A:$B,2,0)&amp;"-S"&amp;TEXT(ROW()-ROW($D$5),"0"),"-S"&amp;TEXT(ROW()-ROW($D$5),"0"))</f>
        <v>-S29</v>
      </c>
      <c r="E34" s="9"/>
      <c r="F34" s="9"/>
      <c r="G34" s="9"/>
      <c r="H34" s="9"/>
      <c r="I34" s="9"/>
      <c r="J34" s="10"/>
      <c r="K34" s="6"/>
      <c r="L34" s="6"/>
      <c r="M34" s="11" t="str">
        <f t="shared" si="0"/>
        <v/>
      </c>
      <c r="N34" s="6"/>
      <c r="O34" s="6"/>
      <c r="P34" s="6"/>
      <c r="Q34" s="6"/>
      <c r="R34" s="6"/>
      <c r="S34" s="6"/>
      <c r="T34" s="6"/>
      <c r="U34" s="6"/>
      <c r="V34" s="11" t="str">
        <f t="shared" si="1"/>
        <v/>
      </c>
      <c r="W34" s="12" t="str">
        <f t="shared" si="3"/>
        <v/>
      </c>
      <c r="X34" s="12" t="str">
        <f t="shared" si="2"/>
        <v/>
      </c>
    </row>
    <row r="35" spans="1:24" ht="25.5" customHeight="1" x14ac:dyDescent="0.25">
      <c r="A35" s="19" t="str">
        <f>IF(B35="","",COUNTA(B$5:B35)-1)</f>
        <v/>
      </c>
      <c r="B35" s="20"/>
      <c r="C35" s="7"/>
      <c r="D35" s="8" t="str">
        <f>IFERROR(VLOOKUP($F$3,Data!$A:$B,2,0)&amp;"-S"&amp;TEXT(ROW()-ROW($D$5),"0"),"-S"&amp;TEXT(ROW()-ROW($D$5),"0"))</f>
        <v>-S30</v>
      </c>
      <c r="E35" s="9"/>
      <c r="F35" s="9"/>
      <c r="G35" s="9"/>
      <c r="H35" s="9"/>
      <c r="I35" s="9"/>
      <c r="J35" s="10"/>
      <c r="K35" s="6"/>
      <c r="L35" s="6"/>
      <c r="M35" s="11" t="str">
        <f t="shared" si="0"/>
        <v/>
      </c>
      <c r="N35" s="6"/>
      <c r="O35" s="6"/>
      <c r="P35" s="6"/>
      <c r="Q35" s="6"/>
      <c r="R35" s="6"/>
      <c r="S35" s="6"/>
      <c r="T35" s="6"/>
      <c r="U35" s="6"/>
      <c r="V35" s="11" t="str">
        <f t="shared" si="1"/>
        <v/>
      </c>
      <c r="W35" s="12" t="str">
        <f t="shared" si="3"/>
        <v/>
      </c>
      <c r="X35" s="12" t="str">
        <f t="shared" si="2"/>
        <v/>
      </c>
    </row>
    <row r="36" spans="1:24" ht="20.25" customHeight="1" x14ac:dyDescent="0.25">
      <c r="A36" s="113" t="s">
        <v>35</v>
      </c>
      <c r="B36" s="87"/>
      <c r="C36" s="87"/>
      <c r="D36" s="87"/>
      <c r="E36" s="87"/>
      <c r="F36" s="87"/>
      <c r="G36" s="87"/>
      <c r="H36" s="87"/>
      <c r="I36" s="87"/>
      <c r="J36" s="13">
        <f>SUM(J5:INDEX(J:J,ROW()-1))</f>
        <v>0</v>
      </c>
      <c r="K36" s="14"/>
      <c r="L36" s="14"/>
      <c r="M36" s="14"/>
      <c r="N36" s="14"/>
      <c r="O36" s="14"/>
      <c r="P36" s="14"/>
      <c r="Q36" s="14"/>
      <c r="R36" s="14"/>
      <c r="S36" s="14"/>
      <c r="T36" s="14"/>
      <c r="U36" s="14"/>
      <c r="V36" s="14"/>
      <c r="W36" s="14"/>
      <c r="X36" s="13" t="str">
        <f>IF(COUNT(X5:INDEX(X:X,ROW()-1))=0,"",SUM(X5:INDEX(X:X,ROW()-1)))</f>
        <v/>
      </c>
    </row>
    <row r="37" spans="1:24" ht="7.5" customHeight="1" x14ac:dyDescent="0.25"/>
    <row r="38" spans="1:24" ht="30" customHeight="1" x14ac:dyDescent="0.25">
      <c r="A38" s="3"/>
      <c r="B38" s="111" t="s">
        <v>36</v>
      </c>
      <c r="C38" s="87"/>
      <c r="D38" s="87"/>
      <c r="E38" s="105" t="s">
        <v>7</v>
      </c>
      <c r="F38" s="87"/>
      <c r="G38" s="87"/>
      <c r="H38" s="87"/>
      <c r="I38" s="87"/>
      <c r="J38" s="87"/>
      <c r="K38" s="87"/>
      <c r="L38" s="87"/>
      <c r="M38" s="4" t="s">
        <v>8</v>
      </c>
      <c r="N38" s="105" t="s">
        <v>9</v>
      </c>
      <c r="O38" s="87"/>
      <c r="P38" s="87"/>
      <c r="Q38" s="87"/>
      <c r="R38" s="87"/>
      <c r="S38" s="87"/>
      <c r="T38" s="87"/>
      <c r="U38" s="87"/>
      <c r="V38" s="105" t="s">
        <v>10</v>
      </c>
      <c r="W38" s="87"/>
      <c r="X38" s="87"/>
    </row>
    <row r="39" spans="1:24" ht="38.25" customHeight="1" x14ac:dyDescent="0.25">
      <c r="A39" s="5" t="s">
        <v>11</v>
      </c>
      <c r="B39" s="5" t="s">
        <v>12</v>
      </c>
      <c r="C39" s="5" t="s">
        <v>13</v>
      </c>
      <c r="D39" s="5" t="s">
        <v>14</v>
      </c>
      <c r="E39" s="5" t="s">
        <v>15</v>
      </c>
      <c r="F39" s="5" t="s">
        <v>16</v>
      </c>
      <c r="G39" s="5" t="s">
        <v>17</v>
      </c>
      <c r="H39" s="5" t="s">
        <v>18</v>
      </c>
      <c r="I39" s="5" t="s">
        <v>19</v>
      </c>
      <c r="J39" s="5" t="s">
        <v>20</v>
      </c>
      <c r="K39" s="5" t="s">
        <v>21</v>
      </c>
      <c r="L39" s="5" t="s">
        <v>22</v>
      </c>
      <c r="M39" s="5" t="s">
        <v>23</v>
      </c>
      <c r="N39" s="5" t="s">
        <v>24</v>
      </c>
      <c r="O39" s="5" t="s">
        <v>25</v>
      </c>
      <c r="P39" s="5" t="s">
        <v>26</v>
      </c>
      <c r="Q39" s="5" t="s">
        <v>27</v>
      </c>
      <c r="R39" s="5" t="s">
        <v>28</v>
      </c>
      <c r="S39" s="5" t="s">
        <v>29</v>
      </c>
      <c r="T39" s="5" t="s">
        <v>30</v>
      </c>
      <c r="U39" s="5" t="s">
        <v>31</v>
      </c>
      <c r="V39" s="5" t="s">
        <v>32</v>
      </c>
      <c r="W39" s="5" t="s">
        <v>33</v>
      </c>
      <c r="X39" s="5" t="s">
        <v>34</v>
      </c>
    </row>
    <row r="40" spans="1:24" ht="25.5" customHeight="1" x14ac:dyDescent="0.25">
      <c r="A40" s="19" t="str">
        <f>IF(B40="","",COUNTA(B$39:B40)-1)</f>
        <v/>
      </c>
      <c r="B40" s="20"/>
      <c r="C40" s="7"/>
      <c r="D40" s="8" t="str">
        <f>IFERROR(VLOOKUP($F$3,Data!$A:$B,2,0)&amp;"-P"&amp;TEXT(ROW()-ROW($D$39),"0"),"-P"&amp;TEXT(ROW()-ROW($D$39),"0"))</f>
        <v>-P1</v>
      </c>
      <c r="E40" s="9"/>
      <c r="F40" s="9"/>
      <c r="G40" s="9"/>
      <c r="H40" s="9"/>
      <c r="I40" s="9"/>
      <c r="J40" s="10"/>
      <c r="K40" s="6"/>
      <c r="L40" s="6"/>
      <c r="M40" s="11" t="str">
        <f t="shared" ref="M40:M69" si="4">IFERROR(IF(OR(K40="",L40="",ISNUMBER(SEARCH("متوسط",I40)),ISNUMBER(SEARCH("ليكرت",G40)),ISNUMBER(SEARCH("نوعي",E40))),"",K40+L40),"")</f>
        <v/>
      </c>
      <c r="N40" s="6"/>
      <c r="O40" s="6"/>
      <c r="P40" s="6"/>
      <c r="Q40" s="6"/>
      <c r="R40" s="6"/>
      <c r="S40" s="6"/>
      <c r="T40" s="6"/>
      <c r="U40" s="6"/>
      <c r="V40" s="11" t="str">
        <f t="shared" ref="V40:V69" si="5">IFERROR(IF(COUNT(O40,Q40,S40,U40)=0,"",IF(ISNUMBER(SEARCH("تراكمي",I40)),IF(ISNUMBER(U40),U40,IF(ISNUMBER(S40),S40,IF(ISNUMBER(Q40),Q40,O40))),IF(ISNUMBER(SEARCH("متوسط",I40)),AVERAGE(O40,Q40,S40,U40),IF(AND(ISNUMBER(SEARCH("سنوي",I40)),ISERROR(SEARCH("نصف",I40))),IF(ISNUMBER(U40),U40,""),SUM(O40,Q40,S40,U40))))),"-")</f>
        <v/>
      </c>
      <c r="W40" s="12" t="str">
        <f>IF(OR(NOT(ISNUMBER(L40)),NOT(ISNUMBER(V40))),"",IFERROR(IF(ISNUMBER(SEARCH("تنازلي",H40)),  IF(V40=0,100,(L40/V40)*100),  (V40/L40)*100),"-"))</f>
        <v/>
      </c>
      <c r="X40" s="12" t="str">
        <f t="shared" ref="X40:X69" si="6">IF(AND(ISNUMBER(W40),ISNUMBER(J40)),MIN(W40,100)/100*J40,"")</f>
        <v/>
      </c>
    </row>
    <row r="41" spans="1:24" ht="25.5" customHeight="1" x14ac:dyDescent="0.25">
      <c r="A41" s="19" t="str">
        <f>IF(B41="","",COUNTA(B$39:B41)-1)</f>
        <v/>
      </c>
      <c r="B41" s="20"/>
      <c r="C41" s="7"/>
      <c r="D41" s="8" t="str">
        <f>IFERROR(VLOOKUP($F$3,Data!$A:$B,2,0)&amp;"-P"&amp;TEXT(ROW()-ROW($D$39),"0"),"-P"&amp;TEXT(ROW()-ROW($D$39),"0"))</f>
        <v>-P2</v>
      </c>
      <c r="E41" s="9"/>
      <c r="F41" s="9"/>
      <c r="G41" s="9"/>
      <c r="H41" s="9"/>
      <c r="I41" s="9"/>
      <c r="J41" s="10"/>
      <c r="K41" s="6"/>
      <c r="L41" s="6"/>
      <c r="M41" s="11" t="str">
        <f t="shared" si="4"/>
        <v/>
      </c>
      <c r="N41" s="6"/>
      <c r="O41" s="6"/>
      <c r="P41" s="6"/>
      <c r="Q41" s="6"/>
      <c r="R41" s="6"/>
      <c r="S41" s="6"/>
      <c r="T41" s="6"/>
      <c r="U41" s="6"/>
      <c r="V41" s="11" t="str">
        <f t="shared" si="5"/>
        <v/>
      </c>
      <c r="W41" s="12" t="str">
        <f t="shared" ref="W41:W69" si="7">IF(OR(NOT(ISNUMBER(L41)),NOT(ISNUMBER(V41))),"",IFERROR(IF(ISNUMBER(SEARCH("تنازلي",H41)), IF(V41=0,100,(L41/V41)*100), (V41/L41)*100),"-"))</f>
        <v/>
      </c>
      <c r="X41" s="12" t="str">
        <f t="shared" si="6"/>
        <v/>
      </c>
    </row>
    <row r="42" spans="1:24" ht="25.5" customHeight="1" x14ac:dyDescent="0.25">
      <c r="A42" s="19" t="str">
        <f>IF(B42="","",COUNTA(B$39:B42)-1)</f>
        <v/>
      </c>
      <c r="B42" s="20"/>
      <c r="C42" s="7"/>
      <c r="D42" s="8" t="str">
        <f>IFERROR(VLOOKUP($F$3,Data!$A:$B,2,0)&amp;"-P"&amp;TEXT(ROW()-ROW($D$39),"0"),"-P"&amp;TEXT(ROW()-ROW($D$39),"0"))</f>
        <v>-P3</v>
      </c>
      <c r="E42" s="9"/>
      <c r="F42" s="9"/>
      <c r="G42" s="9"/>
      <c r="H42" s="9"/>
      <c r="I42" s="9"/>
      <c r="J42" s="10"/>
      <c r="K42" s="6"/>
      <c r="L42" s="6"/>
      <c r="M42" s="11" t="str">
        <f t="shared" si="4"/>
        <v/>
      </c>
      <c r="N42" s="6"/>
      <c r="O42" s="6"/>
      <c r="P42" s="6"/>
      <c r="Q42" s="6"/>
      <c r="R42" s="6"/>
      <c r="S42" s="6"/>
      <c r="T42" s="6"/>
      <c r="U42" s="6"/>
      <c r="V42" s="11" t="str">
        <f t="shared" si="5"/>
        <v/>
      </c>
      <c r="W42" s="12" t="str">
        <f t="shared" si="7"/>
        <v/>
      </c>
      <c r="X42" s="12" t="str">
        <f t="shared" si="6"/>
        <v/>
      </c>
    </row>
    <row r="43" spans="1:24" ht="25.5" customHeight="1" x14ac:dyDescent="0.25">
      <c r="A43" s="19" t="str">
        <f>IF(B43="","",COUNTA(B$39:B43)-1)</f>
        <v/>
      </c>
      <c r="B43" s="20"/>
      <c r="C43" s="7"/>
      <c r="D43" s="8" t="str">
        <f>IFERROR(VLOOKUP($F$3,Data!$A:$B,2,0)&amp;"-P"&amp;TEXT(ROW()-ROW($D$39),"0"),"-P"&amp;TEXT(ROW()-ROW($D$39),"0"))</f>
        <v>-P4</v>
      </c>
      <c r="E43" s="9"/>
      <c r="F43" s="9"/>
      <c r="G43" s="9"/>
      <c r="H43" s="9"/>
      <c r="I43" s="9"/>
      <c r="J43" s="10"/>
      <c r="K43" s="6"/>
      <c r="L43" s="6"/>
      <c r="M43" s="11" t="str">
        <f t="shared" si="4"/>
        <v/>
      </c>
      <c r="N43" s="6"/>
      <c r="O43" s="6"/>
      <c r="P43" s="6"/>
      <c r="Q43" s="6"/>
      <c r="R43" s="6"/>
      <c r="S43" s="6"/>
      <c r="T43" s="6"/>
      <c r="U43" s="6"/>
      <c r="V43" s="11" t="str">
        <f t="shared" si="5"/>
        <v/>
      </c>
      <c r="W43" s="12" t="str">
        <f t="shared" si="7"/>
        <v/>
      </c>
      <c r="X43" s="12" t="str">
        <f t="shared" si="6"/>
        <v/>
      </c>
    </row>
    <row r="44" spans="1:24" ht="25.5" customHeight="1" x14ac:dyDescent="0.25">
      <c r="A44" s="19" t="str">
        <f>IF(B44="","",COUNTA(B$39:B44)-1)</f>
        <v/>
      </c>
      <c r="B44" s="20"/>
      <c r="C44" s="7"/>
      <c r="D44" s="8" t="str">
        <f>IFERROR(VLOOKUP($F$3,Data!$A:$B,2,0)&amp;"-P"&amp;TEXT(ROW()-ROW($D$39),"0"),"-P"&amp;TEXT(ROW()-ROW($D$39),"0"))</f>
        <v>-P5</v>
      </c>
      <c r="E44" s="9"/>
      <c r="F44" s="9"/>
      <c r="G44" s="9"/>
      <c r="H44" s="9"/>
      <c r="I44" s="9"/>
      <c r="J44" s="10"/>
      <c r="K44" s="6"/>
      <c r="L44" s="6"/>
      <c r="M44" s="11" t="str">
        <f t="shared" si="4"/>
        <v/>
      </c>
      <c r="N44" s="6"/>
      <c r="O44" s="6"/>
      <c r="P44" s="6"/>
      <c r="Q44" s="6"/>
      <c r="R44" s="6"/>
      <c r="S44" s="6"/>
      <c r="T44" s="6"/>
      <c r="U44" s="6"/>
      <c r="V44" s="11" t="str">
        <f t="shared" si="5"/>
        <v/>
      </c>
      <c r="W44" s="12" t="str">
        <f t="shared" si="7"/>
        <v/>
      </c>
      <c r="X44" s="12" t="str">
        <f t="shared" si="6"/>
        <v/>
      </c>
    </row>
    <row r="45" spans="1:24" ht="25.5" customHeight="1" x14ac:dyDescent="0.25">
      <c r="A45" s="19" t="str">
        <f>IF(B45="","",COUNTA(B$39:B45)-1)</f>
        <v/>
      </c>
      <c r="B45" s="20"/>
      <c r="C45" s="7"/>
      <c r="D45" s="8" t="str">
        <f>IFERROR(VLOOKUP($F$3,Data!$A:$B,2,0)&amp;"-P"&amp;TEXT(ROW()-ROW($D$39),"0"),"-P"&amp;TEXT(ROW()-ROW($D$39),"0"))</f>
        <v>-P6</v>
      </c>
      <c r="E45" s="9"/>
      <c r="F45" s="9"/>
      <c r="G45" s="9"/>
      <c r="H45" s="9"/>
      <c r="I45" s="9"/>
      <c r="J45" s="10"/>
      <c r="K45" s="6"/>
      <c r="L45" s="6"/>
      <c r="M45" s="11" t="str">
        <f t="shared" si="4"/>
        <v/>
      </c>
      <c r="N45" s="6"/>
      <c r="O45" s="6"/>
      <c r="P45" s="6"/>
      <c r="Q45" s="6"/>
      <c r="R45" s="6"/>
      <c r="S45" s="6"/>
      <c r="T45" s="6"/>
      <c r="U45" s="6"/>
      <c r="V45" s="11" t="str">
        <f t="shared" si="5"/>
        <v/>
      </c>
      <c r="W45" s="12" t="str">
        <f t="shared" si="7"/>
        <v/>
      </c>
      <c r="X45" s="12" t="str">
        <f t="shared" si="6"/>
        <v/>
      </c>
    </row>
    <row r="46" spans="1:24" ht="25.5" customHeight="1" x14ac:dyDescent="0.25">
      <c r="A46" s="19" t="str">
        <f>IF(B46="","",COUNTA(B$39:B46)-1)</f>
        <v/>
      </c>
      <c r="B46" s="20"/>
      <c r="C46" s="7"/>
      <c r="D46" s="8" t="str">
        <f>IFERROR(VLOOKUP($F$3,Data!$A:$B,2,0)&amp;"-P"&amp;TEXT(ROW()-ROW($D$39),"0"),"-P"&amp;TEXT(ROW()-ROW($D$39),"0"))</f>
        <v>-P7</v>
      </c>
      <c r="E46" s="9"/>
      <c r="F46" s="9"/>
      <c r="G46" s="9"/>
      <c r="H46" s="9"/>
      <c r="I46" s="9"/>
      <c r="J46" s="10"/>
      <c r="K46" s="6"/>
      <c r="L46" s="6"/>
      <c r="M46" s="11" t="str">
        <f t="shared" si="4"/>
        <v/>
      </c>
      <c r="N46" s="6"/>
      <c r="O46" s="6"/>
      <c r="P46" s="6"/>
      <c r="Q46" s="6"/>
      <c r="R46" s="6"/>
      <c r="S46" s="6"/>
      <c r="T46" s="6"/>
      <c r="U46" s="6"/>
      <c r="V46" s="11" t="str">
        <f t="shared" si="5"/>
        <v/>
      </c>
      <c r="W46" s="12" t="str">
        <f t="shared" si="7"/>
        <v/>
      </c>
      <c r="X46" s="12" t="str">
        <f t="shared" si="6"/>
        <v/>
      </c>
    </row>
    <row r="47" spans="1:24" ht="25.5" customHeight="1" x14ac:dyDescent="0.25">
      <c r="A47" s="19" t="str">
        <f>IF(B47="","",COUNTA(B$39:B47)-1)</f>
        <v/>
      </c>
      <c r="B47" s="20"/>
      <c r="C47" s="7"/>
      <c r="D47" s="8" t="str">
        <f>IFERROR(VLOOKUP($F$3,Data!$A:$B,2,0)&amp;"-P"&amp;TEXT(ROW()-ROW($D$39),"0"),"-P"&amp;TEXT(ROW()-ROW($D$39),"0"))</f>
        <v>-P8</v>
      </c>
      <c r="E47" s="9"/>
      <c r="F47" s="9"/>
      <c r="G47" s="9"/>
      <c r="H47" s="9"/>
      <c r="I47" s="9"/>
      <c r="J47" s="10"/>
      <c r="K47" s="6"/>
      <c r="L47" s="6"/>
      <c r="M47" s="11" t="str">
        <f t="shared" si="4"/>
        <v/>
      </c>
      <c r="N47" s="6"/>
      <c r="O47" s="6"/>
      <c r="P47" s="6"/>
      <c r="Q47" s="6"/>
      <c r="R47" s="6"/>
      <c r="S47" s="6"/>
      <c r="T47" s="6"/>
      <c r="U47" s="6"/>
      <c r="V47" s="11" t="str">
        <f t="shared" si="5"/>
        <v/>
      </c>
      <c r="W47" s="12" t="str">
        <f t="shared" si="7"/>
        <v/>
      </c>
      <c r="X47" s="12" t="str">
        <f t="shared" si="6"/>
        <v/>
      </c>
    </row>
    <row r="48" spans="1:24" ht="25.5" customHeight="1" x14ac:dyDescent="0.25">
      <c r="A48" s="19" t="str">
        <f>IF(B48="","",COUNTA(B$39:B48)-1)</f>
        <v/>
      </c>
      <c r="B48" s="20"/>
      <c r="C48" s="7"/>
      <c r="D48" s="8" t="str">
        <f>IFERROR(VLOOKUP($F$3,Data!$A:$B,2,0)&amp;"-P"&amp;TEXT(ROW()-ROW($D$39),"0"),"-P"&amp;TEXT(ROW()-ROW($D$39),"0"))</f>
        <v>-P9</v>
      </c>
      <c r="E48" s="9"/>
      <c r="F48" s="9"/>
      <c r="G48" s="9"/>
      <c r="H48" s="9"/>
      <c r="I48" s="9"/>
      <c r="J48" s="10"/>
      <c r="K48" s="6"/>
      <c r="L48" s="6"/>
      <c r="M48" s="11" t="str">
        <f t="shared" si="4"/>
        <v/>
      </c>
      <c r="N48" s="6"/>
      <c r="O48" s="6"/>
      <c r="P48" s="6"/>
      <c r="Q48" s="6"/>
      <c r="R48" s="6"/>
      <c r="S48" s="6"/>
      <c r="T48" s="6"/>
      <c r="U48" s="6"/>
      <c r="V48" s="11" t="str">
        <f t="shared" si="5"/>
        <v/>
      </c>
      <c r="W48" s="12" t="str">
        <f t="shared" si="7"/>
        <v/>
      </c>
      <c r="X48" s="12" t="str">
        <f t="shared" si="6"/>
        <v/>
      </c>
    </row>
    <row r="49" spans="1:24" ht="25.5" customHeight="1" x14ac:dyDescent="0.25">
      <c r="A49" s="19" t="str">
        <f>IF(B49="","",COUNTA(B$39:B49)-1)</f>
        <v/>
      </c>
      <c r="B49" s="20"/>
      <c r="C49" s="7"/>
      <c r="D49" s="8" t="str">
        <f>IFERROR(VLOOKUP($F$3,Data!$A:$B,2,0)&amp;"-P"&amp;TEXT(ROW()-ROW($D$39),"0"),"-P"&amp;TEXT(ROW()-ROW($D$39),"0"))</f>
        <v>-P10</v>
      </c>
      <c r="E49" s="9"/>
      <c r="F49" s="9"/>
      <c r="G49" s="9"/>
      <c r="H49" s="9"/>
      <c r="I49" s="9"/>
      <c r="J49" s="10"/>
      <c r="K49" s="6"/>
      <c r="L49" s="6"/>
      <c r="M49" s="11" t="str">
        <f t="shared" si="4"/>
        <v/>
      </c>
      <c r="N49" s="6"/>
      <c r="O49" s="6"/>
      <c r="P49" s="6"/>
      <c r="Q49" s="6"/>
      <c r="R49" s="6"/>
      <c r="S49" s="6"/>
      <c r="T49" s="6"/>
      <c r="U49" s="6"/>
      <c r="V49" s="11" t="str">
        <f t="shared" si="5"/>
        <v/>
      </c>
      <c r="W49" s="12" t="str">
        <f t="shared" si="7"/>
        <v/>
      </c>
      <c r="X49" s="12" t="str">
        <f t="shared" si="6"/>
        <v/>
      </c>
    </row>
    <row r="50" spans="1:24" ht="25.5" customHeight="1" x14ac:dyDescent="0.25">
      <c r="A50" s="19" t="str">
        <f>IF(B50="","",COUNTA(B$39:B50)-1)</f>
        <v/>
      </c>
      <c r="B50" s="20"/>
      <c r="C50" s="7"/>
      <c r="D50" s="8" t="str">
        <f>IFERROR(VLOOKUP($F$3,Data!$A:$B,2,0)&amp;"-P"&amp;TEXT(ROW()-ROW($D$39),"0"),"-P"&amp;TEXT(ROW()-ROW($D$39),"0"))</f>
        <v>-P11</v>
      </c>
      <c r="E50" s="9"/>
      <c r="F50" s="9"/>
      <c r="G50" s="9"/>
      <c r="H50" s="9"/>
      <c r="I50" s="9"/>
      <c r="J50" s="10"/>
      <c r="K50" s="6"/>
      <c r="L50" s="6"/>
      <c r="M50" s="11" t="str">
        <f t="shared" si="4"/>
        <v/>
      </c>
      <c r="N50" s="6"/>
      <c r="O50" s="6"/>
      <c r="P50" s="6"/>
      <c r="Q50" s="6"/>
      <c r="R50" s="6"/>
      <c r="S50" s="6"/>
      <c r="T50" s="6"/>
      <c r="U50" s="6"/>
      <c r="V50" s="11" t="str">
        <f t="shared" si="5"/>
        <v/>
      </c>
      <c r="W50" s="12" t="str">
        <f t="shared" si="7"/>
        <v/>
      </c>
      <c r="X50" s="12" t="str">
        <f t="shared" si="6"/>
        <v/>
      </c>
    </row>
    <row r="51" spans="1:24" ht="25.5" customHeight="1" x14ac:dyDescent="0.25">
      <c r="A51" s="19" t="str">
        <f>IF(B51="","",COUNTA(B$39:B51)-1)</f>
        <v/>
      </c>
      <c r="B51" s="20"/>
      <c r="C51" s="7"/>
      <c r="D51" s="8" t="str">
        <f>IFERROR(VLOOKUP($F$3,Data!$A:$B,2,0)&amp;"-P"&amp;TEXT(ROW()-ROW($D$39),"0"),"-P"&amp;TEXT(ROW()-ROW($D$39),"0"))</f>
        <v>-P12</v>
      </c>
      <c r="E51" s="9"/>
      <c r="F51" s="9"/>
      <c r="G51" s="9"/>
      <c r="H51" s="9"/>
      <c r="I51" s="9"/>
      <c r="J51" s="10"/>
      <c r="K51" s="6"/>
      <c r="L51" s="6"/>
      <c r="M51" s="11" t="str">
        <f t="shared" si="4"/>
        <v/>
      </c>
      <c r="N51" s="6"/>
      <c r="O51" s="6"/>
      <c r="P51" s="6"/>
      <c r="Q51" s="6"/>
      <c r="R51" s="6"/>
      <c r="S51" s="6"/>
      <c r="T51" s="6"/>
      <c r="U51" s="6"/>
      <c r="V51" s="11" t="str">
        <f t="shared" si="5"/>
        <v/>
      </c>
      <c r="W51" s="12" t="str">
        <f t="shared" si="7"/>
        <v/>
      </c>
      <c r="X51" s="12" t="str">
        <f t="shared" si="6"/>
        <v/>
      </c>
    </row>
    <row r="52" spans="1:24" ht="25.5" customHeight="1" x14ac:dyDescent="0.25">
      <c r="A52" s="19" t="str">
        <f>IF(B52="","",COUNTA(B$39:B52)-1)</f>
        <v/>
      </c>
      <c r="B52" s="20"/>
      <c r="C52" s="7"/>
      <c r="D52" s="8" t="str">
        <f>IFERROR(VLOOKUP($F$3,Data!$A:$B,2,0)&amp;"-P"&amp;TEXT(ROW()-ROW($D$39),"0"),"-P"&amp;TEXT(ROW()-ROW($D$39),"0"))</f>
        <v>-P13</v>
      </c>
      <c r="E52" s="9"/>
      <c r="F52" s="9"/>
      <c r="G52" s="9"/>
      <c r="H52" s="9"/>
      <c r="I52" s="9"/>
      <c r="J52" s="10"/>
      <c r="K52" s="6"/>
      <c r="L52" s="6"/>
      <c r="M52" s="11" t="str">
        <f t="shared" si="4"/>
        <v/>
      </c>
      <c r="N52" s="6"/>
      <c r="O52" s="6"/>
      <c r="P52" s="6"/>
      <c r="Q52" s="6"/>
      <c r="R52" s="6"/>
      <c r="S52" s="6"/>
      <c r="T52" s="6"/>
      <c r="U52" s="6"/>
      <c r="V52" s="11" t="str">
        <f t="shared" si="5"/>
        <v/>
      </c>
      <c r="W52" s="12" t="str">
        <f t="shared" si="7"/>
        <v/>
      </c>
      <c r="X52" s="12" t="str">
        <f t="shared" si="6"/>
        <v/>
      </c>
    </row>
    <row r="53" spans="1:24" ht="25.5" customHeight="1" x14ac:dyDescent="0.25">
      <c r="A53" s="19" t="str">
        <f>IF(B53="","",COUNTA(B$39:B53)-1)</f>
        <v/>
      </c>
      <c r="B53" s="20"/>
      <c r="C53" s="7"/>
      <c r="D53" s="8" t="str">
        <f>IFERROR(VLOOKUP($F$3,Data!$A:$B,2,0)&amp;"-P"&amp;TEXT(ROW()-ROW($D$39),"0"),"-P"&amp;TEXT(ROW()-ROW($D$39),"0"))</f>
        <v>-P14</v>
      </c>
      <c r="E53" s="9"/>
      <c r="F53" s="9"/>
      <c r="G53" s="9"/>
      <c r="H53" s="9"/>
      <c r="I53" s="9"/>
      <c r="J53" s="10"/>
      <c r="K53" s="6"/>
      <c r="L53" s="6"/>
      <c r="M53" s="11" t="str">
        <f t="shared" si="4"/>
        <v/>
      </c>
      <c r="N53" s="6"/>
      <c r="O53" s="6"/>
      <c r="P53" s="6"/>
      <c r="Q53" s="6"/>
      <c r="R53" s="6"/>
      <c r="S53" s="6"/>
      <c r="T53" s="6"/>
      <c r="U53" s="6"/>
      <c r="V53" s="11" t="str">
        <f t="shared" si="5"/>
        <v/>
      </c>
      <c r="W53" s="12" t="str">
        <f t="shared" si="7"/>
        <v/>
      </c>
      <c r="X53" s="12" t="str">
        <f t="shared" si="6"/>
        <v/>
      </c>
    </row>
    <row r="54" spans="1:24" ht="25.5" customHeight="1" x14ac:dyDescent="0.25">
      <c r="A54" s="19" t="str">
        <f>IF(B54="","",COUNTA(B$39:B54)-1)</f>
        <v/>
      </c>
      <c r="B54" s="20"/>
      <c r="C54" s="7"/>
      <c r="D54" s="8" t="str">
        <f>IFERROR(VLOOKUP($F$3,Data!$A:$B,2,0)&amp;"-P"&amp;TEXT(ROW()-ROW($D$39),"0"),"-P"&amp;TEXT(ROW()-ROW($D$39),"0"))</f>
        <v>-P15</v>
      </c>
      <c r="E54" s="9"/>
      <c r="F54" s="9"/>
      <c r="G54" s="9"/>
      <c r="H54" s="9"/>
      <c r="I54" s="9"/>
      <c r="J54" s="10"/>
      <c r="K54" s="6"/>
      <c r="L54" s="6"/>
      <c r="M54" s="11" t="str">
        <f t="shared" si="4"/>
        <v/>
      </c>
      <c r="N54" s="6"/>
      <c r="O54" s="6"/>
      <c r="P54" s="6"/>
      <c r="Q54" s="6"/>
      <c r="R54" s="6"/>
      <c r="S54" s="6"/>
      <c r="T54" s="6"/>
      <c r="U54" s="6"/>
      <c r="V54" s="11" t="str">
        <f t="shared" si="5"/>
        <v/>
      </c>
      <c r="W54" s="12" t="str">
        <f t="shared" si="7"/>
        <v/>
      </c>
      <c r="X54" s="12" t="str">
        <f t="shared" si="6"/>
        <v/>
      </c>
    </row>
    <row r="55" spans="1:24" ht="25.5" customHeight="1" x14ac:dyDescent="0.25">
      <c r="A55" s="19" t="str">
        <f>IF(B55="","",COUNTA(B$39:B55)-1)</f>
        <v/>
      </c>
      <c r="B55" s="20"/>
      <c r="C55" s="7"/>
      <c r="D55" s="8" t="str">
        <f>IFERROR(VLOOKUP($F$3,Data!$A:$B,2,0)&amp;"-P"&amp;TEXT(ROW()-ROW($D$39),"0"),"-P"&amp;TEXT(ROW()-ROW($D$39),"0"))</f>
        <v>-P16</v>
      </c>
      <c r="E55" s="9"/>
      <c r="F55" s="9"/>
      <c r="G55" s="9"/>
      <c r="H55" s="9"/>
      <c r="I55" s="9"/>
      <c r="J55" s="10"/>
      <c r="K55" s="6"/>
      <c r="L55" s="6"/>
      <c r="M55" s="11" t="str">
        <f t="shared" si="4"/>
        <v/>
      </c>
      <c r="N55" s="6"/>
      <c r="O55" s="6"/>
      <c r="P55" s="6"/>
      <c r="Q55" s="6"/>
      <c r="R55" s="6"/>
      <c r="S55" s="6"/>
      <c r="T55" s="6"/>
      <c r="U55" s="6"/>
      <c r="V55" s="11" t="str">
        <f t="shared" si="5"/>
        <v/>
      </c>
      <c r="W55" s="12" t="str">
        <f t="shared" si="7"/>
        <v/>
      </c>
      <c r="X55" s="12" t="str">
        <f t="shared" si="6"/>
        <v/>
      </c>
    </row>
    <row r="56" spans="1:24" ht="25.5" customHeight="1" x14ac:dyDescent="0.25">
      <c r="A56" s="19" t="str">
        <f>IF(B56="","",COUNTA(B$39:B56)-1)</f>
        <v/>
      </c>
      <c r="B56" s="20"/>
      <c r="C56" s="7"/>
      <c r="D56" s="8" t="str">
        <f>IFERROR(VLOOKUP($F$3,Data!$A:$B,2,0)&amp;"-P"&amp;TEXT(ROW()-ROW($D$39),"0"),"-P"&amp;TEXT(ROW()-ROW($D$39),"0"))</f>
        <v>-P17</v>
      </c>
      <c r="E56" s="9"/>
      <c r="F56" s="9"/>
      <c r="G56" s="9"/>
      <c r="H56" s="9"/>
      <c r="I56" s="9"/>
      <c r="J56" s="10"/>
      <c r="K56" s="6"/>
      <c r="L56" s="6"/>
      <c r="M56" s="11" t="str">
        <f t="shared" si="4"/>
        <v/>
      </c>
      <c r="N56" s="6"/>
      <c r="O56" s="6"/>
      <c r="P56" s="6"/>
      <c r="Q56" s="6"/>
      <c r="R56" s="6"/>
      <c r="S56" s="6"/>
      <c r="T56" s="6"/>
      <c r="U56" s="6"/>
      <c r="V56" s="11" t="str">
        <f t="shared" si="5"/>
        <v/>
      </c>
      <c r="W56" s="12" t="str">
        <f t="shared" si="7"/>
        <v/>
      </c>
      <c r="X56" s="12" t="str">
        <f t="shared" si="6"/>
        <v/>
      </c>
    </row>
    <row r="57" spans="1:24" ht="25.5" customHeight="1" x14ac:dyDescent="0.25">
      <c r="A57" s="19" t="str">
        <f>IF(B57="","",COUNTA(B$39:B57)-1)</f>
        <v/>
      </c>
      <c r="B57" s="20"/>
      <c r="C57" s="7"/>
      <c r="D57" s="8" t="str">
        <f>IFERROR(VLOOKUP($F$3,Data!$A:$B,2,0)&amp;"-P"&amp;TEXT(ROW()-ROW($D$39),"0"),"-P"&amp;TEXT(ROW()-ROW($D$39),"0"))</f>
        <v>-P18</v>
      </c>
      <c r="E57" s="9"/>
      <c r="F57" s="9"/>
      <c r="G57" s="9"/>
      <c r="H57" s="9"/>
      <c r="I57" s="9"/>
      <c r="J57" s="10"/>
      <c r="K57" s="6"/>
      <c r="L57" s="6"/>
      <c r="M57" s="11" t="str">
        <f t="shared" si="4"/>
        <v/>
      </c>
      <c r="N57" s="6"/>
      <c r="O57" s="6"/>
      <c r="P57" s="6"/>
      <c r="Q57" s="6"/>
      <c r="R57" s="6"/>
      <c r="S57" s="6"/>
      <c r="T57" s="6"/>
      <c r="U57" s="6"/>
      <c r="V57" s="11" t="str">
        <f t="shared" si="5"/>
        <v/>
      </c>
      <c r="W57" s="12" t="str">
        <f t="shared" si="7"/>
        <v/>
      </c>
      <c r="X57" s="12" t="str">
        <f t="shared" si="6"/>
        <v/>
      </c>
    </row>
    <row r="58" spans="1:24" ht="25.5" customHeight="1" x14ac:dyDescent="0.25">
      <c r="A58" s="19" t="str">
        <f>IF(B58="","",COUNTA(B$39:B58)-1)</f>
        <v/>
      </c>
      <c r="B58" s="20"/>
      <c r="C58" s="7"/>
      <c r="D58" s="8" t="str">
        <f>IFERROR(VLOOKUP($F$3,Data!$A:$B,2,0)&amp;"-P"&amp;TEXT(ROW()-ROW($D$39),"0"),"-P"&amp;TEXT(ROW()-ROW($D$39),"0"))</f>
        <v>-P19</v>
      </c>
      <c r="E58" s="9"/>
      <c r="F58" s="9"/>
      <c r="G58" s="9"/>
      <c r="H58" s="9"/>
      <c r="I58" s="9"/>
      <c r="J58" s="10"/>
      <c r="K58" s="6"/>
      <c r="L58" s="6"/>
      <c r="M58" s="11" t="str">
        <f t="shared" si="4"/>
        <v/>
      </c>
      <c r="N58" s="6"/>
      <c r="O58" s="6"/>
      <c r="P58" s="6"/>
      <c r="Q58" s="6"/>
      <c r="R58" s="6"/>
      <c r="S58" s="6"/>
      <c r="T58" s="6"/>
      <c r="U58" s="6"/>
      <c r="V58" s="11" t="str">
        <f t="shared" si="5"/>
        <v/>
      </c>
      <c r="W58" s="12" t="str">
        <f t="shared" si="7"/>
        <v/>
      </c>
      <c r="X58" s="12" t="str">
        <f t="shared" si="6"/>
        <v/>
      </c>
    </row>
    <row r="59" spans="1:24" ht="25.5" customHeight="1" x14ac:dyDescent="0.25">
      <c r="A59" s="19" t="str">
        <f>IF(B59="","",COUNTA(B$39:B59)-1)</f>
        <v/>
      </c>
      <c r="B59" s="20"/>
      <c r="C59" s="7"/>
      <c r="D59" s="8" t="str">
        <f>IFERROR(VLOOKUP($F$3,Data!$A:$B,2,0)&amp;"-P"&amp;TEXT(ROW()-ROW($D$39),"0"),"-P"&amp;TEXT(ROW()-ROW($D$39),"0"))</f>
        <v>-P20</v>
      </c>
      <c r="E59" s="9"/>
      <c r="F59" s="9"/>
      <c r="G59" s="9"/>
      <c r="H59" s="9"/>
      <c r="I59" s="9"/>
      <c r="J59" s="10"/>
      <c r="K59" s="6"/>
      <c r="L59" s="6"/>
      <c r="M59" s="11" t="str">
        <f t="shared" si="4"/>
        <v/>
      </c>
      <c r="N59" s="6"/>
      <c r="O59" s="6"/>
      <c r="P59" s="6"/>
      <c r="Q59" s="6"/>
      <c r="R59" s="6"/>
      <c r="S59" s="6"/>
      <c r="T59" s="6"/>
      <c r="U59" s="6"/>
      <c r="V59" s="11" t="str">
        <f t="shared" si="5"/>
        <v/>
      </c>
      <c r="W59" s="12" t="str">
        <f t="shared" si="7"/>
        <v/>
      </c>
      <c r="X59" s="12" t="str">
        <f t="shared" si="6"/>
        <v/>
      </c>
    </row>
    <row r="60" spans="1:24" ht="25.5" customHeight="1" x14ac:dyDescent="0.25">
      <c r="A60" s="19" t="str">
        <f>IF(B60="","",COUNTA(B$39:B60)-1)</f>
        <v/>
      </c>
      <c r="B60" s="20"/>
      <c r="C60" s="7"/>
      <c r="D60" s="8" t="str">
        <f>IFERROR(VLOOKUP($F$3,Data!$A:$B,2,0)&amp;"-P"&amp;TEXT(ROW()-ROW($D$39),"0"),"-P"&amp;TEXT(ROW()-ROW($D$39),"0"))</f>
        <v>-P21</v>
      </c>
      <c r="E60" s="9"/>
      <c r="F60" s="9"/>
      <c r="G60" s="9"/>
      <c r="H60" s="9"/>
      <c r="I60" s="9"/>
      <c r="J60" s="10"/>
      <c r="K60" s="6"/>
      <c r="L60" s="6"/>
      <c r="M60" s="11" t="str">
        <f t="shared" si="4"/>
        <v/>
      </c>
      <c r="N60" s="6"/>
      <c r="O60" s="6"/>
      <c r="P60" s="6"/>
      <c r="Q60" s="6"/>
      <c r="R60" s="6"/>
      <c r="S60" s="6"/>
      <c r="T60" s="6"/>
      <c r="U60" s="6"/>
      <c r="V60" s="11" t="str">
        <f t="shared" si="5"/>
        <v/>
      </c>
      <c r="W60" s="12" t="str">
        <f t="shared" si="7"/>
        <v/>
      </c>
      <c r="X60" s="12" t="str">
        <f t="shared" si="6"/>
        <v/>
      </c>
    </row>
    <row r="61" spans="1:24" ht="25.5" customHeight="1" x14ac:dyDescent="0.25">
      <c r="A61" s="19" t="str">
        <f>IF(B61="","",COUNTA(B$39:B61)-1)</f>
        <v/>
      </c>
      <c r="B61" s="20"/>
      <c r="C61" s="7"/>
      <c r="D61" s="8" t="str">
        <f>IFERROR(VLOOKUP($F$3,Data!$A:$B,2,0)&amp;"-P"&amp;TEXT(ROW()-ROW($D$39),"0"),"-P"&amp;TEXT(ROW()-ROW($D$39),"0"))</f>
        <v>-P22</v>
      </c>
      <c r="E61" s="9"/>
      <c r="F61" s="9"/>
      <c r="G61" s="9"/>
      <c r="H61" s="9"/>
      <c r="I61" s="9"/>
      <c r="J61" s="10"/>
      <c r="K61" s="6"/>
      <c r="L61" s="6"/>
      <c r="M61" s="11" t="str">
        <f t="shared" si="4"/>
        <v/>
      </c>
      <c r="N61" s="6"/>
      <c r="O61" s="6"/>
      <c r="P61" s="6"/>
      <c r="Q61" s="6"/>
      <c r="R61" s="6"/>
      <c r="S61" s="6"/>
      <c r="T61" s="6"/>
      <c r="U61" s="6"/>
      <c r="V61" s="11" t="str">
        <f t="shared" si="5"/>
        <v/>
      </c>
      <c r="W61" s="12" t="str">
        <f t="shared" si="7"/>
        <v/>
      </c>
      <c r="X61" s="12" t="str">
        <f t="shared" si="6"/>
        <v/>
      </c>
    </row>
    <row r="62" spans="1:24" ht="25.5" customHeight="1" x14ac:dyDescent="0.25">
      <c r="A62" s="19" t="str">
        <f>IF(B62="","",COUNTA(B$39:B62)-1)</f>
        <v/>
      </c>
      <c r="B62" s="20"/>
      <c r="C62" s="7"/>
      <c r="D62" s="8" t="str">
        <f>IFERROR(VLOOKUP($F$3,Data!$A:$B,2,0)&amp;"-P"&amp;TEXT(ROW()-ROW($D$39),"0"),"-P"&amp;TEXT(ROW()-ROW($D$39),"0"))</f>
        <v>-P23</v>
      </c>
      <c r="E62" s="9"/>
      <c r="F62" s="9"/>
      <c r="G62" s="9"/>
      <c r="H62" s="9"/>
      <c r="I62" s="9"/>
      <c r="J62" s="10"/>
      <c r="K62" s="6"/>
      <c r="L62" s="6"/>
      <c r="M62" s="11" t="str">
        <f t="shared" si="4"/>
        <v/>
      </c>
      <c r="N62" s="6"/>
      <c r="O62" s="6"/>
      <c r="P62" s="6"/>
      <c r="Q62" s="6"/>
      <c r="R62" s="6"/>
      <c r="S62" s="6"/>
      <c r="T62" s="6"/>
      <c r="U62" s="6"/>
      <c r="V62" s="11" t="str">
        <f t="shared" si="5"/>
        <v/>
      </c>
      <c r="W62" s="12" t="str">
        <f t="shared" si="7"/>
        <v/>
      </c>
      <c r="X62" s="12" t="str">
        <f t="shared" si="6"/>
        <v/>
      </c>
    </row>
    <row r="63" spans="1:24" ht="25.5" customHeight="1" x14ac:dyDescent="0.25">
      <c r="A63" s="19" t="str">
        <f>IF(B63="","",COUNTA(B$39:B63)-1)</f>
        <v/>
      </c>
      <c r="B63" s="20"/>
      <c r="C63" s="7"/>
      <c r="D63" s="8" t="str">
        <f>IFERROR(VLOOKUP($F$3,Data!$A:$B,2,0)&amp;"-P"&amp;TEXT(ROW()-ROW($D$39),"0"),"-P"&amp;TEXT(ROW()-ROW($D$39),"0"))</f>
        <v>-P24</v>
      </c>
      <c r="E63" s="9"/>
      <c r="F63" s="9"/>
      <c r="G63" s="9"/>
      <c r="H63" s="9"/>
      <c r="I63" s="9"/>
      <c r="J63" s="10"/>
      <c r="K63" s="6"/>
      <c r="L63" s="6"/>
      <c r="M63" s="11" t="str">
        <f t="shared" si="4"/>
        <v/>
      </c>
      <c r="N63" s="6"/>
      <c r="O63" s="6"/>
      <c r="P63" s="6"/>
      <c r="Q63" s="6"/>
      <c r="R63" s="6"/>
      <c r="S63" s="6"/>
      <c r="T63" s="6"/>
      <c r="U63" s="6"/>
      <c r="V63" s="11" t="str">
        <f t="shared" si="5"/>
        <v/>
      </c>
      <c r="W63" s="12" t="str">
        <f t="shared" si="7"/>
        <v/>
      </c>
      <c r="X63" s="12" t="str">
        <f t="shared" si="6"/>
        <v/>
      </c>
    </row>
    <row r="64" spans="1:24" ht="25.5" customHeight="1" x14ac:dyDescent="0.25">
      <c r="A64" s="19" t="str">
        <f>IF(B64="","",COUNTA(B$39:B64)-1)</f>
        <v/>
      </c>
      <c r="B64" s="20"/>
      <c r="C64" s="7"/>
      <c r="D64" s="8" t="str">
        <f>IFERROR(VLOOKUP($F$3,Data!$A:$B,2,0)&amp;"-P"&amp;TEXT(ROW()-ROW($D$39),"0"),"-P"&amp;TEXT(ROW()-ROW($D$39),"0"))</f>
        <v>-P25</v>
      </c>
      <c r="E64" s="9"/>
      <c r="F64" s="9"/>
      <c r="G64" s="9"/>
      <c r="H64" s="9"/>
      <c r="I64" s="9"/>
      <c r="J64" s="10"/>
      <c r="K64" s="6"/>
      <c r="L64" s="6"/>
      <c r="M64" s="11" t="str">
        <f t="shared" si="4"/>
        <v/>
      </c>
      <c r="N64" s="6"/>
      <c r="O64" s="6"/>
      <c r="P64" s="6"/>
      <c r="Q64" s="6"/>
      <c r="R64" s="6"/>
      <c r="S64" s="6"/>
      <c r="T64" s="6"/>
      <c r="U64" s="6"/>
      <c r="V64" s="11" t="str">
        <f t="shared" si="5"/>
        <v/>
      </c>
      <c r="W64" s="12" t="str">
        <f t="shared" si="7"/>
        <v/>
      </c>
      <c r="X64" s="12" t="str">
        <f t="shared" si="6"/>
        <v/>
      </c>
    </row>
    <row r="65" spans="1:24" ht="25.5" customHeight="1" x14ac:dyDescent="0.25">
      <c r="A65" s="19" t="str">
        <f>IF(B65="","",COUNTA(B$39:B65)-1)</f>
        <v/>
      </c>
      <c r="B65" s="20"/>
      <c r="C65" s="7"/>
      <c r="D65" s="8" t="str">
        <f>IFERROR(VLOOKUP($F$3,Data!$A:$B,2,0)&amp;"-P"&amp;TEXT(ROW()-ROW($D$39),"0"),"-P"&amp;TEXT(ROW()-ROW($D$39),"0"))</f>
        <v>-P26</v>
      </c>
      <c r="E65" s="9"/>
      <c r="F65" s="9"/>
      <c r="G65" s="9"/>
      <c r="H65" s="9"/>
      <c r="I65" s="9"/>
      <c r="J65" s="10"/>
      <c r="K65" s="6"/>
      <c r="L65" s="6"/>
      <c r="M65" s="11" t="str">
        <f t="shared" si="4"/>
        <v/>
      </c>
      <c r="N65" s="6"/>
      <c r="O65" s="6"/>
      <c r="P65" s="6"/>
      <c r="Q65" s="6"/>
      <c r="R65" s="6"/>
      <c r="S65" s="6"/>
      <c r="T65" s="6"/>
      <c r="U65" s="6"/>
      <c r="V65" s="11" t="str">
        <f t="shared" si="5"/>
        <v/>
      </c>
      <c r="W65" s="12" t="str">
        <f t="shared" si="7"/>
        <v/>
      </c>
      <c r="X65" s="12" t="str">
        <f t="shared" si="6"/>
        <v/>
      </c>
    </row>
    <row r="66" spans="1:24" ht="25.5" customHeight="1" x14ac:dyDescent="0.25">
      <c r="A66" s="19" t="str">
        <f>IF(B66="","",COUNTA(B$39:B66)-1)</f>
        <v/>
      </c>
      <c r="B66" s="20"/>
      <c r="C66" s="7"/>
      <c r="D66" s="8" t="str">
        <f>IFERROR(VLOOKUP($F$3,Data!$A:$B,2,0)&amp;"-P"&amp;TEXT(ROW()-ROW($D$39),"0"),"-P"&amp;TEXT(ROW()-ROW($D$39),"0"))</f>
        <v>-P27</v>
      </c>
      <c r="E66" s="9"/>
      <c r="F66" s="9"/>
      <c r="G66" s="9"/>
      <c r="H66" s="9"/>
      <c r="I66" s="9"/>
      <c r="J66" s="10"/>
      <c r="K66" s="6"/>
      <c r="L66" s="6"/>
      <c r="M66" s="11" t="str">
        <f t="shared" si="4"/>
        <v/>
      </c>
      <c r="N66" s="6"/>
      <c r="O66" s="6"/>
      <c r="P66" s="6"/>
      <c r="Q66" s="6"/>
      <c r="R66" s="6"/>
      <c r="S66" s="6"/>
      <c r="T66" s="6"/>
      <c r="U66" s="6"/>
      <c r="V66" s="11" t="str">
        <f t="shared" si="5"/>
        <v/>
      </c>
      <c r="W66" s="12" t="str">
        <f t="shared" si="7"/>
        <v/>
      </c>
      <c r="X66" s="12" t="str">
        <f t="shared" si="6"/>
        <v/>
      </c>
    </row>
    <row r="67" spans="1:24" ht="25.5" customHeight="1" x14ac:dyDescent="0.25">
      <c r="A67" s="19" t="str">
        <f>IF(B67="","",COUNTA(B$39:B67)-1)</f>
        <v/>
      </c>
      <c r="B67" s="20"/>
      <c r="C67" s="7"/>
      <c r="D67" s="8" t="str">
        <f>IFERROR(VLOOKUP($F$3,Data!$A:$B,2,0)&amp;"-P"&amp;TEXT(ROW()-ROW($D$39),"0"),"-P"&amp;TEXT(ROW()-ROW($D$39),"0"))</f>
        <v>-P28</v>
      </c>
      <c r="E67" s="9"/>
      <c r="F67" s="9"/>
      <c r="G67" s="9"/>
      <c r="H67" s="9"/>
      <c r="I67" s="9"/>
      <c r="J67" s="10"/>
      <c r="K67" s="6"/>
      <c r="L67" s="6"/>
      <c r="M67" s="11" t="str">
        <f t="shared" si="4"/>
        <v/>
      </c>
      <c r="N67" s="6"/>
      <c r="O67" s="6"/>
      <c r="P67" s="6"/>
      <c r="Q67" s="6"/>
      <c r="R67" s="6"/>
      <c r="S67" s="6"/>
      <c r="T67" s="6"/>
      <c r="U67" s="6"/>
      <c r="V67" s="11" t="str">
        <f t="shared" si="5"/>
        <v/>
      </c>
      <c r="W67" s="12" t="str">
        <f t="shared" si="7"/>
        <v/>
      </c>
      <c r="X67" s="12" t="str">
        <f t="shared" si="6"/>
        <v/>
      </c>
    </row>
    <row r="68" spans="1:24" ht="25.5" customHeight="1" x14ac:dyDescent="0.25">
      <c r="A68" s="19" t="str">
        <f>IF(B68="","",COUNTA(B$39:B68)-1)</f>
        <v/>
      </c>
      <c r="B68" s="20"/>
      <c r="C68" s="7"/>
      <c r="D68" s="8" t="str">
        <f>IFERROR(VLOOKUP($F$3,Data!$A:$B,2,0)&amp;"-P"&amp;TEXT(ROW()-ROW($D$39),"0"),"-P"&amp;TEXT(ROW()-ROW($D$39),"0"))</f>
        <v>-P29</v>
      </c>
      <c r="E68" s="9"/>
      <c r="F68" s="9"/>
      <c r="G68" s="9"/>
      <c r="H68" s="9"/>
      <c r="I68" s="9"/>
      <c r="J68" s="10"/>
      <c r="K68" s="6"/>
      <c r="L68" s="6"/>
      <c r="M68" s="11" t="str">
        <f t="shared" si="4"/>
        <v/>
      </c>
      <c r="N68" s="6"/>
      <c r="O68" s="6"/>
      <c r="P68" s="6"/>
      <c r="Q68" s="6"/>
      <c r="R68" s="6"/>
      <c r="S68" s="6"/>
      <c r="T68" s="6"/>
      <c r="U68" s="6"/>
      <c r="V68" s="11" t="str">
        <f t="shared" si="5"/>
        <v/>
      </c>
      <c r="W68" s="12" t="str">
        <f t="shared" si="7"/>
        <v/>
      </c>
      <c r="X68" s="12" t="str">
        <f t="shared" si="6"/>
        <v/>
      </c>
    </row>
    <row r="69" spans="1:24" ht="25.5" customHeight="1" x14ac:dyDescent="0.25">
      <c r="A69" s="19" t="str">
        <f>IF(B69="","",COUNTA(B$39:B69)-1)</f>
        <v/>
      </c>
      <c r="B69" s="20"/>
      <c r="C69" s="7"/>
      <c r="D69" s="8" t="str">
        <f>IFERROR(VLOOKUP($F$3,Data!$A:$B,2,0)&amp;"-P"&amp;TEXT(ROW()-ROW($D$39),"0"),"-P"&amp;TEXT(ROW()-ROW($D$39),"0"))</f>
        <v>-P30</v>
      </c>
      <c r="E69" s="9"/>
      <c r="F69" s="9"/>
      <c r="G69" s="9"/>
      <c r="H69" s="9"/>
      <c r="I69" s="9"/>
      <c r="J69" s="10"/>
      <c r="K69" s="6"/>
      <c r="L69" s="6"/>
      <c r="M69" s="11" t="str">
        <f t="shared" si="4"/>
        <v/>
      </c>
      <c r="N69" s="6"/>
      <c r="O69" s="6"/>
      <c r="P69" s="6"/>
      <c r="Q69" s="6"/>
      <c r="R69" s="6"/>
      <c r="S69" s="6"/>
      <c r="T69" s="6"/>
      <c r="U69" s="6"/>
      <c r="V69" s="11" t="str">
        <f t="shared" si="5"/>
        <v/>
      </c>
      <c r="W69" s="12" t="str">
        <f t="shared" si="7"/>
        <v/>
      </c>
      <c r="X69" s="12" t="str">
        <f t="shared" si="6"/>
        <v/>
      </c>
    </row>
    <row r="70" spans="1:24" ht="20.25" customHeight="1" x14ac:dyDescent="0.25">
      <c r="A70" s="113" t="s">
        <v>35</v>
      </c>
      <c r="B70" s="87"/>
      <c r="C70" s="87"/>
      <c r="D70" s="87"/>
      <c r="E70" s="87"/>
      <c r="F70" s="87"/>
      <c r="G70" s="87"/>
      <c r="H70" s="87"/>
      <c r="I70" s="87"/>
      <c r="J70" s="13">
        <f>SUM(J39:INDEX(J:J,ROW()-1))</f>
        <v>0</v>
      </c>
      <c r="K70" s="14"/>
      <c r="L70" s="14"/>
      <c r="M70" s="14"/>
      <c r="N70" s="14"/>
      <c r="O70" s="14"/>
      <c r="P70" s="14"/>
      <c r="Q70" s="14"/>
      <c r="R70" s="14"/>
      <c r="S70" s="14"/>
      <c r="T70" s="14"/>
      <c r="U70" s="14"/>
      <c r="V70" s="14"/>
      <c r="W70" s="14"/>
      <c r="X70" s="13" t="str">
        <f>IF(COUNT(X39:INDEX(X:X,ROW()-1))=0,"",SUM(X39:INDEX(X:X,ROW()-1)))</f>
        <v/>
      </c>
    </row>
    <row r="71" spans="1:24" ht="7.5" customHeight="1" x14ac:dyDescent="0.25"/>
    <row r="72" spans="1:24" ht="30" customHeight="1" x14ac:dyDescent="0.25">
      <c r="A72" s="3"/>
      <c r="B72" s="111" t="s">
        <v>37</v>
      </c>
      <c r="C72" s="87"/>
      <c r="D72" s="87"/>
      <c r="E72" s="105" t="s">
        <v>7</v>
      </c>
      <c r="F72" s="87"/>
      <c r="G72" s="87"/>
      <c r="H72" s="87"/>
      <c r="I72" s="87"/>
      <c r="J72" s="87"/>
      <c r="K72" s="87"/>
      <c r="L72" s="87"/>
      <c r="M72" s="4" t="s">
        <v>8</v>
      </c>
      <c r="N72" s="105" t="s">
        <v>9</v>
      </c>
      <c r="O72" s="87"/>
      <c r="P72" s="87"/>
      <c r="Q72" s="87"/>
      <c r="R72" s="87"/>
      <c r="S72" s="87"/>
      <c r="T72" s="87"/>
      <c r="U72" s="87"/>
      <c r="V72" s="105" t="s">
        <v>10</v>
      </c>
      <c r="W72" s="87"/>
      <c r="X72" s="87"/>
    </row>
    <row r="73" spans="1:24" ht="43.5" customHeight="1" x14ac:dyDescent="0.25">
      <c r="A73" s="5" t="s">
        <v>11</v>
      </c>
      <c r="B73" s="5" t="s">
        <v>12</v>
      </c>
      <c r="C73" s="5" t="s">
        <v>13</v>
      </c>
      <c r="D73" s="5" t="s">
        <v>14</v>
      </c>
      <c r="E73" s="5" t="s">
        <v>15</v>
      </c>
      <c r="F73" s="5" t="s">
        <v>16</v>
      </c>
      <c r="G73" s="5" t="s">
        <v>17</v>
      </c>
      <c r="H73" s="5" t="s">
        <v>18</v>
      </c>
      <c r="I73" s="5" t="s">
        <v>19</v>
      </c>
      <c r="J73" s="5" t="s">
        <v>20</v>
      </c>
      <c r="K73" s="5" t="s">
        <v>21</v>
      </c>
      <c r="L73" s="5" t="s">
        <v>22</v>
      </c>
      <c r="M73" s="5" t="s">
        <v>23</v>
      </c>
      <c r="N73" s="5" t="s">
        <v>24</v>
      </c>
      <c r="O73" s="5" t="s">
        <v>25</v>
      </c>
      <c r="P73" s="5" t="s">
        <v>26</v>
      </c>
      <c r="Q73" s="5" t="s">
        <v>27</v>
      </c>
      <c r="R73" s="5" t="s">
        <v>28</v>
      </c>
      <c r="S73" s="5" t="s">
        <v>29</v>
      </c>
      <c r="T73" s="5" t="s">
        <v>30</v>
      </c>
      <c r="U73" s="5" t="s">
        <v>31</v>
      </c>
      <c r="V73" s="5" t="s">
        <v>32</v>
      </c>
      <c r="W73" s="5" t="s">
        <v>33</v>
      </c>
      <c r="X73" s="5" t="s">
        <v>34</v>
      </c>
    </row>
    <row r="74" spans="1:24" ht="25.5" customHeight="1" x14ac:dyDescent="0.25">
      <c r="A74" s="19" t="str">
        <f>IF(B74="","",COUNTA(B$73:B74)-1)</f>
        <v/>
      </c>
      <c r="B74" s="20"/>
      <c r="C74" s="7"/>
      <c r="D74" s="8" t="str">
        <f>IFERROR(VLOOKUP($F$3,Data!$A:$B,2,0)&amp;"-L"&amp;TEXT(ROW()-ROW($D$73),"0"),"-L"&amp;TEXT(ROW()-ROW($D$73),"0"))</f>
        <v>-L1</v>
      </c>
      <c r="E74" s="9"/>
      <c r="F74" s="9"/>
      <c r="G74" s="9"/>
      <c r="H74" s="9"/>
      <c r="I74" s="9"/>
      <c r="J74" s="10"/>
      <c r="K74" s="6"/>
      <c r="L74" s="6"/>
      <c r="M74" s="11" t="str">
        <f t="shared" ref="M74:M103" si="8">IFERROR(IF(OR(K74="",L74="",ISNUMBER(SEARCH("متوسط",I74)),ISNUMBER(SEARCH("ليكرت",G74)),ISNUMBER(SEARCH("نوعي",E74))),"",K74+L74),"")</f>
        <v/>
      </c>
      <c r="N74" s="6"/>
      <c r="O74" s="6"/>
      <c r="P74" s="6"/>
      <c r="Q74" s="6"/>
      <c r="R74" s="6"/>
      <c r="S74" s="6"/>
      <c r="T74" s="6"/>
      <c r="U74" s="6"/>
      <c r="V74" s="11" t="str">
        <f t="shared" ref="V74:V103" si="9">IFERROR(IF(COUNT(O74,Q74,S74,U74)=0,"",IF(ISNUMBER(SEARCH("تراكمي",I74)),IF(ISNUMBER(U74),U74,IF(ISNUMBER(S74),S74,IF(ISNUMBER(Q74),Q74,O74))),IF(ISNUMBER(SEARCH("متوسط",I74)),AVERAGE(O74,Q74,S74,U74),IF(AND(ISNUMBER(SEARCH("سنوي",I74)),ISERROR(SEARCH("نصف",I74))),IF(ISNUMBER(U74),U74,""),SUM(O74,Q74,S74,U74))))),"-")</f>
        <v/>
      </c>
      <c r="W74" s="12" t="str">
        <f>IF(OR(NOT(ISNUMBER(L74)),NOT(ISNUMBER(V74))),"",IFERROR(IF(ISNUMBER(SEARCH("تنازلي",H74)),  IF(V74=0,100,(L74/V74)*100),  (V74/L74)*100),"-"))</f>
        <v/>
      </c>
      <c r="X74" s="12" t="str">
        <f t="shared" ref="X74:X103" si="10">IF(AND(ISNUMBER(W74),ISNUMBER(J74)),MIN(W74,100)/100*J74,"")</f>
        <v/>
      </c>
    </row>
    <row r="75" spans="1:24" ht="25.5" customHeight="1" x14ac:dyDescent="0.25">
      <c r="A75" s="19" t="str">
        <f>IF(B75="","",COUNTA(B$73:B75)-1)</f>
        <v/>
      </c>
      <c r="B75" s="20"/>
      <c r="C75" s="7"/>
      <c r="D75" s="8" t="str">
        <f>IFERROR(VLOOKUP($F$3,Data!$A:$B,2,0)&amp;"-L"&amp;TEXT(ROW()-ROW($D$73),"0"),"-L"&amp;TEXT(ROW()-ROW($D$73),"0"))</f>
        <v>-L2</v>
      </c>
      <c r="E75" s="9"/>
      <c r="F75" s="9"/>
      <c r="G75" s="9"/>
      <c r="H75" s="9"/>
      <c r="I75" s="9"/>
      <c r="J75" s="10"/>
      <c r="K75" s="6"/>
      <c r="L75" s="6"/>
      <c r="M75" s="11" t="str">
        <f t="shared" si="8"/>
        <v/>
      </c>
      <c r="N75" s="6"/>
      <c r="O75" s="6"/>
      <c r="P75" s="6"/>
      <c r="Q75" s="6"/>
      <c r="R75" s="6"/>
      <c r="S75" s="6"/>
      <c r="T75" s="6"/>
      <c r="U75" s="6"/>
      <c r="V75" s="11" t="str">
        <f t="shared" si="9"/>
        <v/>
      </c>
      <c r="W75" s="12" t="str">
        <f t="shared" ref="W75:W103" si="11">IF(OR(NOT(ISNUMBER(L75)),NOT(ISNUMBER(V75))),"",IFERROR(IF(ISNUMBER(SEARCH("تنازلي",H75)), IF(V75=0,100,(L75/V75)*100), (V75/L75)*100),"-"))</f>
        <v/>
      </c>
      <c r="X75" s="12" t="str">
        <f t="shared" si="10"/>
        <v/>
      </c>
    </row>
    <row r="76" spans="1:24" ht="25.5" customHeight="1" x14ac:dyDescent="0.25">
      <c r="A76" s="19" t="str">
        <f>IF(B76="","",COUNTA(B$73:B76)-1)</f>
        <v/>
      </c>
      <c r="B76" s="20"/>
      <c r="C76" s="7"/>
      <c r="D76" s="8" t="str">
        <f>IFERROR(VLOOKUP($F$3,Data!$A:$B,2,0)&amp;"-L"&amp;TEXT(ROW()-ROW($D$73),"0"),"-L"&amp;TEXT(ROW()-ROW($D$73),"0"))</f>
        <v>-L3</v>
      </c>
      <c r="E76" s="9"/>
      <c r="F76" s="9"/>
      <c r="G76" s="9"/>
      <c r="H76" s="9"/>
      <c r="I76" s="9"/>
      <c r="J76" s="10"/>
      <c r="K76" s="6"/>
      <c r="L76" s="6"/>
      <c r="M76" s="11" t="str">
        <f t="shared" si="8"/>
        <v/>
      </c>
      <c r="N76" s="6"/>
      <c r="O76" s="6"/>
      <c r="P76" s="6"/>
      <c r="Q76" s="6"/>
      <c r="R76" s="6"/>
      <c r="S76" s="6"/>
      <c r="T76" s="6"/>
      <c r="U76" s="6"/>
      <c r="V76" s="11" t="str">
        <f t="shared" si="9"/>
        <v/>
      </c>
      <c r="W76" s="12" t="str">
        <f t="shared" si="11"/>
        <v/>
      </c>
      <c r="X76" s="12" t="str">
        <f t="shared" si="10"/>
        <v/>
      </c>
    </row>
    <row r="77" spans="1:24" ht="25.5" customHeight="1" x14ac:dyDescent="0.25">
      <c r="A77" s="19" t="str">
        <f>IF(B77="","",COUNTA(B$73:B77)-1)</f>
        <v/>
      </c>
      <c r="B77" s="20"/>
      <c r="C77" s="7"/>
      <c r="D77" s="8" t="str">
        <f>IFERROR(VLOOKUP($F$3,Data!$A:$B,2,0)&amp;"-L"&amp;TEXT(ROW()-ROW($D$73),"0"),"-L"&amp;TEXT(ROW()-ROW($D$73),"0"))</f>
        <v>-L4</v>
      </c>
      <c r="E77" s="9"/>
      <c r="F77" s="9"/>
      <c r="G77" s="9"/>
      <c r="H77" s="9"/>
      <c r="I77" s="9"/>
      <c r="J77" s="10"/>
      <c r="K77" s="6"/>
      <c r="L77" s="6"/>
      <c r="M77" s="11" t="str">
        <f t="shared" si="8"/>
        <v/>
      </c>
      <c r="N77" s="6"/>
      <c r="O77" s="6"/>
      <c r="P77" s="6"/>
      <c r="Q77" s="6"/>
      <c r="R77" s="6"/>
      <c r="S77" s="6"/>
      <c r="T77" s="6"/>
      <c r="U77" s="6"/>
      <c r="V77" s="11" t="str">
        <f t="shared" si="9"/>
        <v/>
      </c>
      <c r="W77" s="12" t="str">
        <f t="shared" si="11"/>
        <v/>
      </c>
      <c r="X77" s="12" t="str">
        <f t="shared" si="10"/>
        <v/>
      </c>
    </row>
    <row r="78" spans="1:24" ht="25.5" customHeight="1" x14ac:dyDescent="0.25">
      <c r="A78" s="19" t="str">
        <f>IF(B78="","",COUNTA(B$73:B78)-1)</f>
        <v/>
      </c>
      <c r="B78" s="20"/>
      <c r="C78" s="7"/>
      <c r="D78" s="8" t="str">
        <f>IFERROR(VLOOKUP($F$3,Data!$A:$B,2,0)&amp;"-L"&amp;TEXT(ROW()-ROW($D$73),"0"),"-L"&amp;TEXT(ROW()-ROW($D$73),"0"))</f>
        <v>-L5</v>
      </c>
      <c r="E78" s="9"/>
      <c r="F78" s="9"/>
      <c r="G78" s="9"/>
      <c r="H78" s="9"/>
      <c r="I78" s="9"/>
      <c r="J78" s="10"/>
      <c r="K78" s="6"/>
      <c r="L78" s="6"/>
      <c r="M78" s="11" t="str">
        <f t="shared" si="8"/>
        <v/>
      </c>
      <c r="N78" s="6"/>
      <c r="O78" s="6"/>
      <c r="P78" s="6"/>
      <c r="Q78" s="6"/>
      <c r="R78" s="6"/>
      <c r="S78" s="6"/>
      <c r="T78" s="6"/>
      <c r="U78" s="6"/>
      <c r="V78" s="11" t="str">
        <f t="shared" si="9"/>
        <v/>
      </c>
      <c r="W78" s="12" t="str">
        <f t="shared" si="11"/>
        <v/>
      </c>
      <c r="X78" s="12" t="str">
        <f t="shared" si="10"/>
        <v/>
      </c>
    </row>
    <row r="79" spans="1:24" ht="25.5" customHeight="1" x14ac:dyDescent="0.25">
      <c r="A79" s="19" t="str">
        <f>IF(B79="","",COUNTA(B$73:B79)-1)</f>
        <v/>
      </c>
      <c r="B79" s="20"/>
      <c r="C79" s="7"/>
      <c r="D79" s="8" t="str">
        <f>IFERROR(VLOOKUP($F$3,Data!$A:$B,2,0)&amp;"-L"&amp;TEXT(ROW()-ROW($D$73),"0"),"-L"&amp;TEXT(ROW()-ROW($D$73),"0"))</f>
        <v>-L6</v>
      </c>
      <c r="E79" s="9"/>
      <c r="F79" s="9"/>
      <c r="G79" s="9"/>
      <c r="H79" s="9"/>
      <c r="I79" s="9"/>
      <c r="J79" s="10"/>
      <c r="K79" s="6"/>
      <c r="L79" s="6"/>
      <c r="M79" s="11" t="str">
        <f t="shared" si="8"/>
        <v/>
      </c>
      <c r="N79" s="6"/>
      <c r="O79" s="6"/>
      <c r="P79" s="6"/>
      <c r="Q79" s="6"/>
      <c r="R79" s="6"/>
      <c r="S79" s="6"/>
      <c r="T79" s="6"/>
      <c r="U79" s="6"/>
      <c r="V79" s="11" t="str">
        <f t="shared" si="9"/>
        <v/>
      </c>
      <c r="W79" s="12" t="str">
        <f t="shared" si="11"/>
        <v/>
      </c>
      <c r="X79" s="12" t="str">
        <f t="shared" si="10"/>
        <v/>
      </c>
    </row>
    <row r="80" spans="1:24" ht="25.5" customHeight="1" x14ac:dyDescent="0.25">
      <c r="A80" s="19" t="str">
        <f>IF(B80="","",COUNTA(B$73:B80)-1)</f>
        <v/>
      </c>
      <c r="B80" s="20"/>
      <c r="C80" s="7"/>
      <c r="D80" s="8" t="str">
        <f>IFERROR(VLOOKUP($F$3,Data!$A:$B,2,0)&amp;"-L"&amp;TEXT(ROW()-ROW($D$73),"0"),"-L"&amp;TEXT(ROW()-ROW($D$73),"0"))</f>
        <v>-L7</v>
      </c>
      <c r="E80" s="9"/>
      <c r="F80" s="9"/>
      <c r="G80" s="9"/>
      <c r="H80" s="9"/>
      <c r="I80" s="9"/>
      <c r="J80" s="10"/>
      <c r="K80" s="6"/>
      <c r="L80" s="6"/>
      <c r="M80" s="11" t="str">
        <f t="shared" si="8"/>
        <v/>
      </c>
      <c r="N80" s="6"/>
      <c r="O80" s="6"/>
      <c r="P80" s="6"/>
      <c r="Q80" s="6"/>
      <c r="R80" s="6"/>
      <c r="S80" s="6"/>
      <c r="T80" s="6"/>
      <c r="U80" s="6"/>
      <c r="V80" s="11" t="str">
        <f t="shared" si="9"/>
        <v/>
      </c>
      <c r="W80" s="12" t="str">
        <f t="shared" si="11"/>
        <v/>
      </c>
      <c r="X80" s="12" t="str">
        <f t="shared" si="10"/>
        <v/>
      </c>
    </row>
    <row r="81" spans="1:24" ht="25.5" customHeight="1" x14ac:dyDescent="0.25">
      <c r="A81" s="19" t="str">
        <f>IF(B81="","",COUNTA(B$73:B81)-1)</f>
        <v/>
      </c>
      <c r="B81" s="20"/>
      <c r="C81" s="7"/>
      <c r="D81" s="8" t="str">
        <f>IFERROR(VLOOKUP($F$3,Data!$A:$B,2,0)&amp;"-L"&amp;TEXT(ROW()-ROW($D$73),"0"),"-L"&amp;TEXT(ROW()-ROW($D$73),"0"))</f>
        <v>-L8</v>
      </c>
      <c r="E81" s="9"/>
      <c r="F81" s="9"/>
      <c r="G81" s="9"/>
      <c r="H81" s="9"/>
      <c r="I81" s="9"/>
      <c r="J81" s="10"/>
      <c r="K81" s="6"/>
      <c r="L81" s="6"/>
      <c r="M81" s="11" t="str">
        <f t="shared" si="8"/>
        <v/>
      </c>
      <c r="N81" s="6"/>
      <c r="O81" s="6"/>
      <c r="P81" s="6"/>
      <c r="Q81" s="6"/>
      <c r="R81" s="6"/>
      <c r="S81" s="6"/>
      <c r="T81" s="6"/>
      <c r="U81" s="6"/>
      <c r="V81" s="11" t="str">
        <f t="shared" si="9"/>
        <v/>
      </c>
      <c r="W81" s="12" t="str">
        <f t="shared" si="11"/>
        <v/>
      </c>
      <c r="X81" s="12" t="str">
        <f t="shared" si="10"/>
        <v/>
      </c>
    </row>
    <row r="82" spans="1:24" ht="25.5" customHeight="1" x14ac:dyDescent="0.25">
      <c r="A82" s="19" t="str">
        <f>IF(B82="","",COUNTA(B$73:B82)-1)</f>
        <v/>
      </c>
      <c r="B82" s="20"/>
      <c r="C82" s="7"/>
      <c r="D82" s="8" t="str">
        <f>IFERROR(VLOOKUP($F$3,Data!$A:$B,2,0)&amp;"-L"&amp;TEXT(ROW()-ROW($D$73),"0"),"-L"&amp;TEXT(ROW()-ROW($D$73),"0"))</f>
        <v>-L9</v>
      </c>
      <c r="E82" s="9"/>
      <c r="F82" s="9"/>
      <c r="G82" s="9"/>
      <c r="H82" s="9"/>
      <c r="I82" s="9"/>
      <c r="J82" s="10"/>
      <c r="K82" s="6"/>
      <c r="L82" s="6"/>
      <c r="M82" s="11" t="str">
        <f t="shared" si="8"/>
        <v/>
      </c>
      <c r="N82" s="6"/>
      <c r="O82" s="6"/>
      <c r="P82" s="6"/>
      <c r="Q82" s="6"/>
      <c r="R82" s="6"/>
      <c r="S82" s="6"/>
      <c r="T82" s="6"/>
      <c r="U82" s="6"/>
      <c r="V82" s="11" t="str">
        <f t="shared" si="9"/>
        <v/>
      </c>
      <c r="W82" s="12" t="str">
        <f t="shared" si="11"/>
        <v/>
      </c>
      <c r="X82" s="12" t="str">
        <f t="shared" si="10"/>
        <v/>
      </c>
    </row>
    <row r="83" spans="1:24" ht="25.5" customHeight="1" x14ac:dyDescent="0.25">
      <c r="A83" s="19" t="str">
        <f>IF(B83="","",COUNTA(B$73:B83)-1)</f>
        <v/>
      </c>
      <c r="B83" s="20"/>
      <c r="C83" s="7"/>
      <c r="D83" s="8" t="str">
        <f>IFERROR(VLOOKUP($F$3,Data!$A:$B,2,0)&amp;"-L"&amp;TEXT(ROW()-ROW($D$73),"0"),"-L"&amp;TEXT(ROW()-ROW($D$73),"0"))</f>
        <v>-L10</v>
      </c>
      <c r="E83" s="9"/>
      <c r="F83" s="9"/>
      <c r="G83" s="9"/>
      <c r="H83" s="9"/>
      <c r="I83" s="9"/>
      <c r="J83" s="10"/>
      <c r="K83" s="6"/>
      <c r="L83" s="6"/>
      <c r="M83" s="11" t="str">
        <f t="shared" si="8"/>
        <v/>
      </c>
      <c r="N83" s="6"/>
      <c r="O83" s="6"/>
      <c r="P83" s="6"/>
      <c r="Q83" s="6"/>
      <c r="R83" s="6"/>
      <c r="S83" s="6"/>
      <c r="T83" s="6"/>
      <c r="U83" s="6"/>
      <c r="V83" s="11" t="str">
        <f t="shared" si="9"/>
        <v/>
      </c>
      <c r="W83" s="12" t="str">
        <f t="shared" si="11"/>
        <v/>
      </c>
      <c r="X83" s="12" t="str">
        <f t="shared" si="10"/>
        <v/>
      </c>
    </row>
    <row r="84" spans="1:24" ht="25.5" customHeight="1" x14ac:dyDescent="0.25">
      <c r="A84" s="19" t="str">
        <f>IF(B84="","",COUNTA(B$73:B84)-1)</f>
        <v/>
      </c>
      <c r="B84" s="20"/>
      <c r="C84" s="7"/>
      <c r="D84" s="8" t="str">
        <f>IFERROR(VLOOKUP($F$3,Data!$A:$B,2,0)&amp;"-L"&amp;TEXT(ROW()-ROW($D$73),"0"),"-L"&amp;TEXT(ROW()-ROW($D$73),"0"))</f>
        <v>-L11</v>
      </c>
      <c r="E84" s="9"/>
      <c r="F84" s="9"/>
      <c r="G84" s="9"/>
      <c r="H84" s="9"/>
      <c r="I84" s="9"/>
      <c r="J84" s="10"/>
      <c r="K84" s="6"/>
      <c r="L84" s="6"/>
      <c r="M84" s="11" t="str">
        <f t="shared" si="8"/>
        <v/>
      </c>
      <c r="N84" s="6"/>
      <c r="O84" s="6"/>
      <c r="P84" s="6"/>
      <c r="Q84" s="6"/>
      <c r="R84" s="6"/>
      <c r="S84" s="6"/>
      <c r="T84" s="6"/>
      <c r="U84" s="6"/>
      <c r="V84" s="11" t="str">
        <f t="shared" si="9"/>
        <v/>
      </c>
      <c r="W84" s="12" t="str">
        <f t="shared" si="11"/>
        <v/>
      </c>
      <c r="X84" s="12" t="str">
        <f t="shared" si="10"/>
        <v/>
      </c>
    </row>
    <row r="85" spans="1:24" ht="25.5" customHeight="1" x14ac:dyDescent="0.25">
      <c r="A85" s="19" t="str">
        <f>IF(B85="","",COUNTA(B$73:B85)-1)</f>
        <v/>
      </c>
      <c r="B85" s="20"/>
      <c r="C85" s="7"/>
      <c r="D85" s="8" t="str">
        <f>IFERROR(VLOOKUP($F$3,Data!$A:$B,2,0)&amp;"-L"&amp;TEXT(ROW()-ROW($D$73),"0"),"-L"&amp;TEXT(ROW()-ROW($D$73),"0"))</f>
        <v>-L12</v>
      </c>
      <c r="E85" s="9"/>
      <c r="F85" s="9"/>
      <c r="G85" s="9"/>
      <c r="H85" s="9"/>
      <c r="I85" s="9"/>
      <c r="J85" s="10"/>
      <c r="K85" s="6"/>
      <c r="L85" s="6"/>
      <c r="M85" s="11" t="str">
        <f t="shared" si="8"/>
        <v/>
      </c>
      <c r="N85" s="6"/>
      <c r="O85" s="6"/>
      <c r="P85" s="6"/>
      <c r="Q85" s="6"/>
      <c r="R85" s="6"/>
      <c r="S85" s="6"/>
      <c r="T85" s="6"/>
      <c r="U85" s="6"/>
      <c r="V85" s="11" t="str">
        <f t="shared" si="9"/>
        <v/>
      </c>
      <c r="W85" s="12" t="str">
        <f t="shared" si="11"/>
        <v/>
      </c>
      <c r="X85" s="12" t="str">
        <f t="shared" si="10"/>
        <v/>
      </c>
    </row>
    <row r="86" spans="1:24" ht="25.5" customHeight="1" x14ac:dyDescent="0.25">
      <c r="A86" s="19" t="str">
        <f>IF(B86="","",COUNTA(B$73:B86)-1)</f>
        <v/>
      </c>
      <c r="B86" s="20"/>
      <c r="C86" s="7"/>
      <c r="D86" s="8" t="str">
        <f>IFERROR(VLOOKUP($F$3,Data!$A:$B,2,0)&amp;"-L"&amp;TEXT(ROW()-ROW($D$73),"0"),"-L"&amp;TEXT(ROW()-ROW($D$73),"0"))</f>
        <v>-L13</v>
      </c>
      <c r="E86" s="9"/>
      <c r="F86" s="9"/>
      <c r="G86" s="9"/>
      <c r="H86" s="9"/>
      <c r="I86" s="9"/>
      <c r="J86" s="10"/>
      <c r="K86" s="6"/>
      <c r="L86" s="6"/>
      <c r="M86" s="11" t="str">
        <f t="shared" si="8"/>
        <v/>
      </c>
      <c r="N86" s="6"/>
      <c r="O86" s="6"/>
      <c r="P86" s="6"/>
      <c r="Q86" s="6"/>
      <c r="R86" s="6"/>
      <c r="S86" s="6"/>
      <c r="T86" s="6"/>
      <c r="U86" s="6"/>
      <c r="V86" s="11" t="str">
        <f t="shared" si="9"/>
        <v/>
      </c>
      <c r="W86" s="12" t="str">
        <f t="shared" si="11"/>
        <v/>
      </c>
      <c r="X86" s="12" t="str">
        <f t="shared" si="10"/>
        <v/>
      </c>
    </row>
    <row r="87" spans="1:24" ht="25.5" customHeight="1" x14ac:dyDescent="0.25">
      <c r="A87" s="19" t="str">
        <f>IF(B87="","",COUNTA(B$73:B87)-1)</f>
        <v/>
      </c>
      <c r="B87" s="20"/>
      <c r="C87" s="7"/>
      <c r="D87" s="8" t="str">
        <f>IFERROR(VLOOKUP($F$3,Data!$A:$B,2,0)&amp;"-L"&amp;TEXT(ROW()-ROW($D$73),"0"),"-L"&amp;TEXT(ROW()-ROW($D$73),"0"))</f>
        <v>-L14</v>
      </c>
      <c r="E87" s="9"/>
      <c r="F87" s="9"/>
      <c r="G87" s="9"/>
      <c r="H87" s="9"/>
      <c r="I87" s="9"/>
      <c r="J87" s="10"/>
      <c r="K87" s="6"/>
      <c r="L87" s="6"/>
      <c r="M87" s="11" t="str">
        <f t="shared" si="8"/>
        <v/>
      </c>
      <c r="N87" s="6"/>
      <c r="O87" s="6"/>
      <c r="P87" s="6"/>
      <c r="Q87" s="6"/>
      <c r="R87" s="6"/>
      <c r="S87" s="6"/>
      <c r="T87" s="6"/>
      <c r="U87" s="6"/>
      <c r="V87" s="11" t="str">
        <f t="shared" si="9"/>
        <v/>
      </c>
      <c r="W87" s="12" t="str">
        <f t="shared" si="11"/>
        <v/>
      </c>
      <c r="X87" s="12" t="str">
        <f t="shared" si="10"/>
        <v/>
      </c>
    </row>
    <row r="88" spans="1:24" ht="25.5" customHeight="1" x14ac:dyDescent="0.25">
      <c r="A88" s="19" t="str">
        <f>IF(B88="","",COUNTA(B$73:B88)-1)</f>
        <v/>
      </c>
      <c r="B88" s="20"/>
      <c r="C88" s="7"/>
      <c r="D88" s="8" t="str">
        <f>IFERROR(VLOOKUP($F$3,Data!$A:$B,2,0)&amp;"-L"&amp;TEXT(ROW()-ROW($D$73),"0"),"-L"&amp;TEXT(ROW()-ROW($D$73),"0"))</f>
        <v>-L15</v>
      </c>
      <c r="E88" s="9"/>
      <c r="F88" s="9"/>
      <c r="G88" s="9"/>
      <c r="H88" s="9"/>
      <c r="I88" s="9"/>
      <c r="J88" s="10"/>
      <c r="K88" s="6"/>
      <c r="L88" s="6"/>
      <c r="M88" s="11" t="str">
        <f t="shared" si="8"/>
        <v/>
      </c>
      <c r="N88" s="6"/>
      <c r="O88" s="6"/>
      <c r="P88" s="6"/>
      <c r="Q88" s="6"/>
      <c r="R88" s="6"/>
      <c r="S88" s="6"/>
      <c r="T88" s="6"/>
      <c r="U88" s="6"/>
      <c r="V88" s="11" t="str">
        <f t="shared" si="9"/>
        <v/>
      </c>
      <c r="W88" s="12" t="str">
        <f t="shared" si="11"/>
        <v/>
      </c>
      <c r="X88" s="12" t="str">
        <f t="shared" si="10"/>
        <v/>
      </c>
    </row>
    <row r="89" spans="1:24" ht="25.5" customHeight="1" x14ac:dyDescent="0.25">
      <c r="A89" s="19" t="str">
        <f>IF(B89="","",COUNTA(B$73:B89)-1)</f>
        <v/>
      </c>
      <c r="B89" s="20"/>
      <c r="C89" s="7"/>
      <c r="D89" s="8" t="str">
        <f>IFERROR(VLOOKUP($F$3,Data!$A:$B,2,0)&amp;"-L"&amp;TEXT(ROW()-ROW($D$73),"0"),"-L"&amp;TEXT(ROW()-ROW($D$73),"0"))</f>
        <v>-L16</v>
      </c>
      <c r="E89" s="9"/>
      <c r="F89" s="9"/>
      <c r="G89" s="9"/>
      <c r="H89" s="9"/>
      <c r="I89" s="9"/>
      <c r="J89" s="10"/>
      <c r="K89" s="6"/>
      <c r="L89" s="6"/>
      <c r="M89" s="11" t="str">
        <f t="shared" si="8"/>
        <v/>
      </c>
      <c r="N89" s="6"/>
      <c r="O89" s="6"/>
      <c r="P89" s="6"/>
      <c r="Q89" s="6"/>
      <c r="R89" s="6"/>
      <c r="S89" s="6"/>
      <c r="T89" s="6"/>
      <c r="U89" s="6"/>
      <c r="V89" s="11" t="str">
        <f t="shared" si="9"/>
        <v/>
      </c>
      <c r="W89" s="12" t="str">
        <f t="shared" si="11"/>
        <v/>
      </c>
      <c r="X89" s="12" t="str">
        <f t="shared" si="10"/>
        <v/>
      </c>
    </row>
    <row r="90" spans="1:24" ht="25.5" customHeight="1" x14ac:dyDescent="0.25">
      <c r="A90" s="19" t="str">
        <f>IF(B90="","",COUNTA(B$73:B90)-1)</f>
        <v/>
      </c>
      <c r="B90" s="20"/>
      <c r="C90" s="7"/>
      <c r="D90" s="8" t="str">
        <f>IFERROR(VLOOKUP($F$3,Data!$A:$B,2,0)&amp;"-L"&amp;TEXT(ROW()-ROW($D$73),"0"),"-L"&amp;TEXT(ROW()-ROW($D$73),"0"))</f>
        <v>-L17</v>
      </c>
      <c r="E90" s="9"/>
      <c r="F90" s="9"/>
      <c r="G90" s="9"/>
      <c r="H90" s="9"/>
      <c r="I90" s="9"/>
      <c r="J90" s="10"/>
      <c r="K90" s="6"/>
      <c r="L90" s="6"/>
      <c r="M90" s="11" t="str">
        <f t="shared" si="8"/>
        <v/>
      </c>
      <c r="N90" s="6"/>
      <c r="O90" s="6"/>
      <c r="P90" s="6"/>
      <c r="Q90" s="6"/>
      <c r="R90" s="6"/>
      <c r="S90" s="6"/>
      <c r="T90" s="6"/>
      <c r="U90" s="6"/>
      <c r="V90" s="11" t="str">
        <f t="shared" si="9"/>
        <v/>
      </c>
      <c r="W90" s="12" t="str">
        <f t="shared" si="11"/>
        <v/>
      </c>
      <c r="X90" s="12" t="str">
        <f t="shared" si="10"/>
        <v/>
      </c>
    </row>
    <row r="91" spans="1:24" ht="25.5" customHeight="1" x14ac:dyDescent="0.25">
      <c r="A91" s="19" t="str">
        <f>IF(B91="","",COUNTA(B$73:B91)-1)</f>
        <v/>
      </c>
      <c r="B91" s="20"/>
      <c r="C91" s="7"/>
      <c r="D91" s="8" t="str">
        <f>IFERROR(VLOOKUP($F$3,Data!$A:$B,2,0)&amp;"-L"&amp;TEXT(ROW()-ROW($D$73),"0"),"-L"&amp;TEXT(ROW()-ROW($D$73),"0"))</f>
        <v>-L18</v>
      </c>
      <c r="E91" s="9"/>
      <c r="F91" s="9"/>
      <c r="G91" s="9"/>
      <c r="H91" s="9"/>
      <c r="I91" s="9"/>
      <c r="J91" s="10"/>
      <c r="K91" s="6"/>
      <c r="L91" s="6"/>
      <c r="M91" s="11" t="str">
        <f t="shared" si="8"/>
        <v/>
      </c>
      <c r="N91" s="6"/>
      <c r="O91" s="6"/>
      <c r="P91" s="6"/>
      <c r="Q91" s="6"/>
      <c r="R91" s="6"/>
      <c r="S91" s="6"/>
      <c r="T91" s="6"/>
      <c r="U91" s="6"/>
      <c r="V91" s="11" t="str">
        <f t="shared" si="9"/>
        <v/>
      </c>
      <c r="W91" s="12" t="str">
        <f t="shared" si="11"/>
        <v/>
      </c>
      <c r="X91" s="12" t="str">
        <f t="shared" si="10"/>
        <v/>
      </c>
    </row>
    <row r="92" spans="1:24" ht="25.5" customHeight="1" x14ac:dyDescent="0.25">
      <c r="A92" s="19" t="str">
        <f>IF(B92="","",COUNTA(B$73:B92)-1)</f>
        <v/>
      </c>
      <c r="B92" s="20"/>
      <c r="C92" s="7"/>
      <c r="D92" s="8" t="str">
        <f>IFERROR(VLOOKUP($F$3,Data!$A:$B,2,0)&amp;"-L"&amp;TEXT(ROW()-ROW($D$73),"0"),"-L"&amp;TEXT(ROW()-ROW($D$73),"0"))</f>
        <v>-L19</v>
      </c>
      <c r="E92" s="9"/>
      <c r="F92" s="9"/>
      <c r="G92" s="9"/>
      <c r="H92" s="9"/>
      <c r="I92" s="9"/>
      <c r="J92" s="10"/>
      <c r="K92" s="6"/>
      <c r="L92" s="6"/>
      <c r="M92" s="11" t="str">
        <f t="shared" si="8"/>
        <v/>
      </c>
      <c r="N92" s="6"/>
      <c r="O92" s="6"/>
      <c r="P92" s="6"/>
      <c r="Q92" s="6"/>
      <c r="R92" s="6"/>
      <c r="S92" s="6"/>
      <c r="T92" s="6"/>
      <c r="U92" s="6"/>
      <c r="V92" s="11" t="str">
        <f t="shared" si="9"/>
        <v/>
      </c>
      <c r="W92" s="12" t="str">
        <f t="shared" si="11"/>
        <v/>
      </c>
      <c r="X92" s="12" t="str">
        <f t="shared" si="10"/>
        <v/>
      </c>
    </row>
    <row r="93" spans="1:24" ht="25.5" customHeight="1" x14ac:dyDescent="0.25">
      <c r="A93" s="19" t="str">
        <f>IF(B93="","",COUNTA(B$73:B93)-1)</f>
        <v/>
      </c>
      <c r="B93" s="20"/>
      <c r="C93" s="7"/>
      <c r="D93" s="8" t="str">
        <f>IFERROR(VLOOKUP($F$3,Data!$A:$B,2,0)&amp;"-L"&amp;TEXT(ROW()-ROW($D$73),"0"),"-L"&amp;TEXT(ROW()-ROW($D$73),"0"))</f>
        <v>-L20</v>
      </c>
      <c r="E93" s="9"/>
      <c r="F93" s="9"/>
      <c r="G93" s="9"/>
      <c r="H93" s="9"/>
      <c r="I93" s="9"/>
      <c r="J93" s="10"/>
      <c r="K93" s="6"/>
      <c r="L93" s="6"/>
      <c r="M93" s="11" t="str">
        <f t="shared" si="8"/>
        <v/>
      </c>
      <c r="N93" s="6"/>
      <c r="O93" s="6"/>
      <c r="P93" s="6"/>
      <c r="Q93" s="6"/>
      <c r="R93" s="6"/>
      <c r="S93" s="6"/>
      <c r="T93" s="6"/>
      <c r="U93" s="6"/>
      <c r="V93" s="11" t="str">
        <f t="shared" si="9"/>
        <v/>
      </c>
      <c r="W93" s="12" t="str">
        <f t="shared" si="11"/>
        <v/>
      </c>
      <c r="X93" s="12" t="str">
        <f t="shared" si="10"/>
        <v/>
      </c>
    </row>
    <row r="94" spans="1:24" ht="25.5" customHeight="1" x14ac:dyDescent="0.25">
      <c r="A94" s="19" t="str">
        <f>IF(B94="","",COUNTA(B$73:B94)-1)</f>
        <v/>
      </c>
      <c r="B94" s="20"/>
      <c r="C94" s="7"/>
      <c r="D94" s="8" t="str">
        <f>IFERROR(VLOOKUP($F$3,Data!$A:$B,2,0)&amp;"-L"&amp;TEXT(ROW()-ROW($D$73),"0"),"-L"&amp;TEXT(ROW()-ROW($D$73),"0"))</f>
        <v>-L21</v>
      </c>
      <c r="E94" s="9"/>
      <c r="F94" s="9"/>
      <c r="G94" s="9"/>
      <c r="H94" s="9"/>
      <c r="I94" s="9"/>
      <c r="J94" s="10"/>
      <c r="K94" s="6"/>
      <c r="L94" s="6"/>
      <c r="M94" s="11" t="str">
        <f t="shared" si="8"/>
        <v/>
      </c>
      <c r="N94" s="6"/>
      <c r="O94" s="6"/>
      <c r="P94" s="6"/>
      <c r="Q94" s="6"/>
      <c r="R94" s="6"/>
      <c r="S94" s="6"/>
      <c r="T94" s="6"/>
      <c r="U94" s="6"/>
      <c r="V94" s="11" t="str">
        <f t="shared" si="9"/>
        <v/>
      </c>
      <c r="W94" s="12" t="str">
        <f t="shared" si="11"/>
        <v/>
      </c>
      <c r="X94" s="12" t="str">
        <f t="shared" si="10"/>
        <v/>
      </c>
    </row>
    <row r="95" spans="1:24" ht="25.5" customHeight="1" x14ac:dyDescent="0.25">
      <c r="A95" s="19" t="str">
        <f>IF(B95="","",COUNTA(B$73:B95)-1)</f>
        <v/>
      </c>
      <c r="B95" s="20"/>
      <c r="C95" s="7"/>
      <c r="D95" s="8" t="str">
        <f>IFERROR(VLOOKUP($F$3,Data!$A:$B,2,0)&amp;"-L"&amp;TEXT(ROW()-ROW($D$73),"0"),"-L"&amp;TEXT(ROW()-ROW($D$73),"0"))</f>
        <v>-L22</v>
      </c>
      <c r="E95" s="9"/>
      <c r="F95" s="9"/>
      <c r="G95" s="9"/>
      <c r="H95" s="9"/>
      <c r="I95" s="9"/>
      <c r="J95" s="10"/>
      <c r="K95" s="6"/>
      <c r="L95" s="6"/>
      <c r="M95" s="11" t="str">
        <f t="shared" si="8"/>
        <v/>
      </c>
      <c r="N95" s="6"/>
      <c r="O95" s="6"/>
      <c r="P95" s="6"/>
      <c r="Q95" s="6"/>
      <c r="R95" s="6"/>
      <c r="S95" s="6"/>
      <c r="T95" s="6"/>
      <c r="U95" s="6"/>
      <c r="V95" s="11" t="str">
        <f t="shared" si="9"/>
        <v/>
      </c>
      <c r="W95" s="12" t="str">
        <f t="shared" si="11"/>
        <v/>
      </c>
      <c r="X95" s="12" t="str">
        <f t="shared" si="10"/>
        <v/>
      </c>
    </row>
    <row r="96" spans="1:24" ht="25.5" customHeight="1" x14ac:dyDescent="0.25">
      <c r="A96" s="19" t="str">
        <f>IF(B96="","",COUNTA(B$73:B96)-1)</f>
        <v/>
      </c>
      <c r="B96" s="20"/>
      <c r="C96" s="7"/>
      <c r="D96" s="8" t="str">
        <f>IFERROR(VLOOKUP($F$3,Data!$A:$B,2,0)&amp;"-L"&amp;TEXT(ROW()-ROW($D$73),"0"),"-L"&amp;TEXT(ROW()-ROW($D$73),"0"))</f>
        <v>-L23</v>
      </c>
      <c r="E96" s="9"/>
      <c r="F96" s="9"/>
      <c r="G96" s="9"/>
      <c r="H96" s="9"/>
      <c r="I96" s="9"/>
      <c r="J96" s="10"/>
      <c r="K96" s="6"/>
      <c r="L96" s="6"/>
      <c r="M96" s="11" t="str">
        <f t="shared" si="8"/>
        <v/>
      </c>
      <c r="N96" s="6"/>
      <c r="O96" s="6"/>
      <c r="P96" s="6"/>
      <c r="Q96" s="6"/>
      <c r="R96" s="6"/>
      <c r="S96" s="6"/>
      <c r="T96" s="6"/>
      <c r="U96" s="6"/>
      <c r="V96" s="11" t="str">
        <f t="shared" si="9"/>
        <v/>
      </c>
      <c r="W96" s="12" t="str">
        <f t="shared" si="11"/>
        <v/>
      </c>
      <c r="X96" s="12" t="str">
        <f t="shared" si="10"/>
        <v/>
      </c>
    </row>
    <row r="97" spans="1:24" ht="25.5" customHeight="1" x14ac:dyDescent="0.25">
      <c r="A97" s="19" t="str">
        <f>IF(B97="","",COUNTA(B$73:B97)-1)</f>
        <v/>
      </c>
      <c r="B97" s="20"/>
      <c r="C97" s="7"/>
      <c r="D97" s="8" t="str">
        <f>IFERROR(VLOOKUP($F$3,Data!$A:$B,2,0)&amp;"-L"&amp;TEXT(ROW()-ROW($D$73),"0"),"-L"&amp;TEXT(ROW()-ROW($D$73),"0"))</f>
        <v>-L24</v>
      </c>
      <c r="E97" s="9"/>
      <c r="F97" s="9"/>
      <c r="G97" s="9"/>
      <c r="H97" s="9"/>
      <c r="I97" s="9"/>
      <c r="J97" s="10"/>
      <c r="K97" s="6"/>
      <c r="L97" s="6"/>
      <c r="M97" s="11" t="str">
        <f t="shared" si="8"/>
        <v/>
      </c>
      <c r="N97" s="6"/>
      <c r="O97" s="6"/>
      <c r="P97" s="6"/>
      <c r="Q97" s="6"/>
      <c r="R97" s="6"/>
      <c r="S97" s="6"/>
      <c r="T97" s="6"/>
      <c r="U97" s="6"/>
      <c r="V97" s="11" t="str">
        <f t="shared" si="9"/>
        <v/>
      </c>
      <c r="W97" s="12" t="str">
        <f t="shared" si="11"/>
        <v/>
      </c>
      <c r="X97" s="12" t="str">
        <f t="shared" si="10"/>
        <v/>
      </c>
    </row>
    <row r="98" spans="1:24" ht="25.5" customHeight="1" x14ac:dyDescent="0.25">
      <c r="A98" s="19" t="str">
        <f>IF(B98="","",COUNTA(B$73:B98)-1)</f>
        <v/>
      </c>
      <c r="B98" s="20"/>
      <c r="C98" s="7"/>
      <c r="D98" s="8" t="str">
        <f>IFERROR(VLOOKUP($F$3,Data!$A:$B,2,0)&amp;"-L"&amp;TEXT(ROW()-ROW($D$73),"0"),"-L"&amp;TEXT(ROW()-ROW($D$73),"0"))</f>
        <v>-L25</v>
      </c>
      <c r="E98" s="9"/>
      <c r="F98" s="9"/>
      <c r="G98" s="9"/>
      <c r="H98" s="9"/>
      <c r="I98" s="9"/>
      <c r="J98" s="10"/>
      <c r="K98" s="6"/>
      <c r="L98" s="6"/>
      <c r="M98" s="11" t="str">
        <f t="shared" si="8"/>
        <v/>
      </c>
      <c r="N98" s="6"/>
      <c r="O98" s="6"/>
      <c r="P98" s="6"/>
      <c r="Q98" s="6"/>
      <c r="R98" s="6"/>
      <c r="S98" s="6"/>
      <c r="T98" s="6"/>
      <c r="U98" s="6"/>
      <c r="V98" s="11" t="str">
        <f t="shared" si="9"/>
        <v/>
      </c>
      <c r="W98" s="12" t="str">
        <f t="shared" si="11"/>
        <v/>
      </c>
      <c r="X98" s="12" t="str">
        <f t="shared" si="10"/>
        <v/>
      </c>
    </row>
    <row r="99" spans="1:24" ht="25.5" customHeight="1" x14ac:dyDescent="0.25">
      <c r="A99" s="19" t="str">
        <f>IF(B99="","",COUNTA(B$73:B99)-1)</f>
        <v/>
      </c>
      <c r="B99" s="20"/>
      <c r="C99" s="7"/>
      <c r="D99" s="8" t="str">
        <f>IFERROR(VLOOKUP($F$3,Data!$A:$B,2,0)&amp;"-L"&amp;TEXT(ROW()-ROW($D$73),"0"),"-L"&amp;TEXT(ROW()-ROW($D$73),"0"))</f>
        <v>-L26</v>
      </c>
      <c r="E99" s="9"/>
      <c r="F99" s="9"/>
      <c r="G99" s="9"/>
      <c r="H99" s="9"/>
      <c r="I99" s="9"/>
      <c r="J99" s="10"/>
      <c r="K99" s="6"/>
      <c r="L99" s="6"/>
      <c r="M99" s="11" t="str">
        <f t="shared" si="8"/>
        <v/>
      </c>
      <c r="N99" s="6"/>
      <c r="O99" s="6"/>
      <c r="P99" s="6"/>
      <c r="Q99" s="6"/>
      <c r="R99" s="6"/>
      <c r="S99" s="6"/>
      <c r="T99" s="6"/>
      <c r="U99" s="6"/>
      <c r="V99" s="11" t="str">
        <f t="shared" si="9"/>
        <v/>
      </c>
      <c r="W99" s="12" t="str">
        <f t="shared" si="11"/>
        <v/>
      </c>
      <c r="X99" s="12" t="str">
        <f t="shared" si="10"/>
        <v/>
      </c>
    </row>
    <row r="100" spans="1:24" ht="25.5" customHeight="1" x14ac:dyDescent="0.25">
      <c r="A100" s="19" t="str">
        <f>IF(B100="","",COUNTA(B$73:B100)-1)</f>
        <v/>
      </c>
      <c r="B100" s="20"/>
      <c r="C100" s="7"/>
      <c r="D100" s="8" t="str">
        <f>IFERROR(VLOOKUP($F$3,Data!$A:$B,2,0)&amp;"-L"&amp;TEXT(ROW()-ROW($D$73),"0"),"-L"&amp;TEXT(ROW()-ROW($D$73),"0"))</f>
        <v>-L27</v>
      </c>
      <c r="E100" s="9"/>
      <c r="F100" s="9"/>
      <c r="G100" s="9"/>
      <c r="H100" s="9"/>
      <c r="I100" s="9"/>
      <c r="J100" s="10"/>
      <c r="K100" s="6"/>
      <c r="L100" s="6"/>
      <c r="M100" s="11" t="str">
        <f t="shared" si="8"/>
        <v/>
      </c>
      <c r="N100" s="6"/>
      <c r="O100" s="6"/>
      <c r="P100" s="6"/>
      <c r="Q100" s="6"/>
      <c r="R100" s="6"/>
      <c r="S100" s="6"/>
      <c r="T100" s="6"/>
      <c r="U100" s="6"/>
      <c r="V100" s="11" t="str">
        <f t="shared" si="9"/>
        <v/>
      </c>
      <c r="W100" s="12" t="str">
        <f t="shared" si="11"/>
        <v/>
      </c>
      <c r="X100" s="12" t="str">
        <f t="shared" si="10"/>
        <v/>
      </c>
    </row>
    <row r="101" spans="1:24" ht="25.5" customHeight="1" x14ac:dyDescent="0.25">
      <c r="A101" s="19" t="str">
        <f>IF(B101="","",COUNTA(B$73:B101)-1)</f>
        <v/>
      </c>
      <c r="B101" s="20"/>
      <c r="C101" s="7"/>
      <c r="D101" s="8" t="str">
        <f>IFERROR(VLOOKUP($F$3,Data!$A:$B,2,0)&amp;"-L"&amp;TEXT(ROW()-ROW($D$73),"0"),"-L"&amp;TEXT(ROW()-ROW($D$73),"0"))</f>
        <v>-L28</v>
      </c>
      <c r="E101" s="9"/>
      <c r="F101" s="9"/>
      <c r="G101" s="9"/>
      <c r="H101" s="9"/>
      <c r="I101" s="9"/>
      <c r="J101" s="10"/>
      <c r="K101" s="6"/>
      <c r="L101" s="6"/>
      <c r="M101" s="11" t="str">
        <f t="shared" si="8"/>
        <v/>
      </c>
      <c r="N101" s="6"/>
      <c r="O101" s="6"/>
      <c r="P101" s="6"/>
      <c r="Q101" s="6"/>
      <c r="R101" s="6"/>
      <c r="S101" s="6"/>
      <c r="T101" s="6"/>
      <c r="U101" s="6"/>
      <c r="V101" s="11" t="str">
        <f t="shared" si="9"/>
        <v/>
      </c>
      <c r="W101" s="12" t="str">
        <f t="shared" si="11"/>
        <v/>
      </c>
      <c r="X101" s="12" t="str">
        <f t="shared" si="10"/>
        <v/>
      </c>
    </row>
    <row r="102" spans="1:24" ht="25.5" customHeight="1" x14ac:dyDescent="0.25">
      <c r="A102" s="19" t="str">
        <f>IF(B102="","",COUNTA(B$73:B102)-1)</f>
        <v/>
      </c>
      <c r="B102" s="20"/>
      <c r="C102" s="7"/>
      <c r="D102" s="8" t="str">
        <f>IFERROR(VLOOKUP($F$3,Data!$A:$B,2,0)&amp;"-L"&amp;TEXT(ROW()-ROW($D$73),"0"),"-L"&amp;TEXT(ROW()-ROW($D$73),"0"))</f>
        <v>-L29</v>
      </c>
      <c r="E102" s="9"/>
      <c r="F102" s="9"/>
      <c r="G102" s="9"/>
      <c r="H102" s="9"/>
      <c r="I102" s="9"/>
      <c r="J102" s="10"/>
      <c r="K102" s="6"/>
      <c r="L102" s="6"/>
      <c r="M102" s="11" t="str">
        <f t="shared" si="8"/>
        <v/>
      </c>
      <c r="N102" s="6"/>
      <c r="O102" s="6"/>
      <c r="P102" s="6"/>
      <c r="Q102" s="6"/>
      <c r="R102" s="6"/>
      <c r="S102" s="6"/>
      <c r="T102" s="6"/>
      <c r="U102" s="6"/>
      <c r="V102" s="11" t="str">
        <f t="shared" si="9"/>
        <v/>
      </c>
      <c r="W102" s="12" t="str">
        <f t="shared" si="11"/>
        <v/>
      </c>
      <c r="X102" s="12" t="str">
        <f t="shared" si="10"/>
        <v/>
      </c>
    </row>
    <row r="103" spans="1:24" ht="25.5" customHeight="1" x14ac:dyDescent="0.25">
      <c r="A103" s="19" t="str">
        <f>IF(B103="","",COUNTA(B$73:B103)-1)</f>
        <v/>
      </c>
      <c r="B103" s="20"/>
      <c r="C103" s="7"/>
      <c r="D103" s="8" t="str">
        <f>IFERROR(VLOOKUP($F$3,Data!$A:$B,2,0)&amp;"-L"&amp;TEXT(ROW()-ROW($D$73),"0"),"-L"&amp;TEXT(ROW()-ROW($D$73),"0"))</f>
        <v>-L30</v>
      </c>
      <c r="E103" s="9"/>
      <c r="F103" s="9"/>
      <c r="G103" s="9"/>
      <c r="H103" s="9"/>
      <c r="I103" s="9"/>
      <c r="J103" s="10"/>
      <c r="K103" s="6"/>
      <c r="L103" s="6"/>
      <c r="M103" s="11" t="str">
        <f t="shared" si="8"/>
        <v/>
      </c>
      <c r="N103" s="6"/>
      <c r="O103" s="6"/>
      <c r="P103" s="6"/>
      <c r="Q103" s="6"/>
      <c r="R103" s="6"/>
      <c r="S103" s="6"/>
      <c r="T103" s="6"/>
      <c r="U103" s="6"/>
      <c r="V103" s="11" t="str">
        <f t="shared" si="9"/>
        <v/>
      </c>
      <c r="W103" s="12" t="str">
        <f t="shared" si="11"/>
        <v/>
      </c>
      <c r="X103" s="12" t="str">
        <f t="shared" si="10"/>
        <v/>
      </c>
    </row>
    <row r="104" spans="1:24" ht="20.25" customHeight="1" x14ac:dyDescent="0.25">
      <c r="A104" s="113" t="s">
        <v>35</v>
      </c>
      <c r="B104" s="87"/>
      <c r="C104" s="87"/>
      <c r="D104" s="87"/>
      <c r="E104" s="87"/>
      <c r="F104" s="87"/>
      <c r="G104" s="87"/>
      <c r="H104" s="87"/>
      <c r="I104" s="87"/>
      <c r="J104" s="13">
        <f>SUM(J73:INDEX(J:J,ROW()-1))</f>
        <v>0</v>
      </c>
      <c r="K104" s="14"/>
      <c r="L104" s="14"/>
      <c r="M104" s="14"/>
      <c r="N104" s="14"/>
      <c r="O104" s="14"/>
      <c r="P104" s="14"/>
      <c r="Q104" s="14"/>
      <c r="R104" s="14"/>
      <c r="S104" s="14"/>
      <c r="T104" s="14"/>
      <c r="U104" s="14"/>
      <c r="V104" s="14"/>
      <c r="W104" s="14"/>
      <c r="X104" s="13" t="str">
        <f>IF(COUNT(X73:INDEX(X:X,ROW()-1))=0,"",SUM(X73:INDEX(X:X,ROW()-1)))</f>
        <v/>
      </c>
    </row>
    <row r="105" spans="1:24" ht="7.5" customHeight="1" x14ac:dyDescent="0.25"/>
    <row r="106" spans="1:24" ht="30" customHeight="1" x14ac:dyDescent="0.25">
      <c r="A106" s="3"/>
      <c r="B106" s="111" t="s">
        <v>38</v>
      </c>
      <c r="C106" s="87"/>
      <c r="D106" s="87"/>
      <c r="E106" s="105" t="s">
        <v>7</v>
      </c>
      <c r="F106" s="87"/>
      <c r="G106" s="87"/>
      <c r="H106" s="87"/>
      <c r="I106" s="87"/>
      <c r="J106" s="87"/>
      <c r="K106" s="87"/>
      <c r="L106" s="87"/>
      <c r="M106" s="4" t="s">
        <v>8</v>
      </c>
      <c r="N106" s="105" t="s">
        <v>9</v>
      </c>
      <c r="O106" s="87"/>
      <c r="P106" s="87"/>
      <c r="Q106" s="87"/>
      <c r="R106" s="87"/>
      <c r="S106" s="87"/>
      <c r="T106" s="87"/>
      <c r="U106" s="87"/>
      <c r="V106" s="105" t="s">
        <v>10</v>
      </c>
      <c r="W106" s="87"/>
      <c r="X106" s="87"/>
    </row>
    <row r="107" spans="1:24" ht="43.5" customHeight="1" x14ac:dyDescent="0.25">
      <c r="A107" s="5" t="s">
        <v>11</v>
      </c>
      <c r="B107" s="5" t="s">
        <v>12</v>
      </c>
      <c r="C107" s="5" t="s">
        <v>13</v>
      </c>
      <c r="D107" s="5" t="s">
        <v>14</v>
      </c>
      <c r="E107" s="5" t="s">
        <v>15</v>
      </c>
      <c r="F107" s="5" t="s">
        <v>16</v>
      </c>
      <c r="G107" s="5" t="s">
        <v>17</v>
      </c>
      <c r="H107" s="5" t="s">
        <v>18</v>
      </c>
      <c r="I107" s="5" t="s">
        <v>19</v>
      </c>
      <c r="J107" s="5" t="s">
        <v>20</v>
      </c>
      <c r="K107" s="5" t="s">
        <v>21</v>
      </c>
      <c r="L107" s="5" t="s">
        <v>22</v>
      </c>
      <c r="M107" s="5" t="s">
        <v>23</v>
      </c>
      <c r="N107" s="5" t="s">
        <v>24</v>
      </c>
      <c r="O107" s="5" t="s">
        <v>25</v>
      </c>
      <c r="P107" s="5" t="s">
        <v>26</v>
      </c>
      <c r="Q107" s="5" t="s">
        <v>27</v>
      </c>
      <c r="R107" s="5" t="s">
        <v>28</v>
      </c>
      <c r="S107" s="5" t="s">
        <v>29</v>
      </c>
      <c r="T107" s="5" t="s">
        <v>30</v>
      </c>
      <c r="U107" s="5" t="s">
        <v>31</v>
      </c>
      <c r="V107" s="5" t="s">
        <v>32</v>
      </c>
      <c r="W107" s="5" t="s">
        <v>33</v>
      </c>
      <c r="X107" s="5" t="s">
        <v>34</v>
      </c>
    </row>
    <row r="108" spans="1:24" ht="25.5" customHeight="1" x14ac:dyDescent="0.25">
      <c r="A108" s="19" t="str">
        <f>IF(B108="","",COUNTA(B$107:B108)-1)</f>
        <v/>
      </c>
      <c r="B108" s="20"/>
      <c r="C108" s="7"/>
      <c r="D108" s="8" t="str">
        <f>IFERROR(VLOOKUP($F$3,Data!$A:$B,2,0)&amp;"-F"&amp;TEXT(ROW()-ROW($D$107),"0"),"-F"&amp;TEXT(ROW()-ROW($D$107),"0"))</f>
        <v>-F1</v>
      </c>
      <c r="E108" s="9"/>
      <c r="F108" s="9"/>
      <c r="G108" s="9"/>
      <c r="H108" s="9"/>
      <c r="I108" s="9"/>
      <c r="J108" s="10"/>
      <c r="K108" s="6"/>
      <c r="L108" s="6"/>
      <c r="M108" s="11" t="str">
        <f t="shared" ref="M108:M137" si="12">IFERROR(IF(OR(K108="",L108="",ISNUMBER(SEARCH("متوسط",I108)),ISNUMBER(SEARCH("ليكرت",G108)),ISNUMBER(SEARCH("نوعي",E108))),"",K108+L108),"")</f>
        <v/>
      </c>
      <c r="N108" s="6"/>
      <c r="O108" s="6"/>
      <c r="P108" s="6"/>
      <c r="Q108" s="6"/>
      <c r="R108" s="6"/>
      <c r="S108" s="6"/>
      <c r="T108" s="6"/>
      <c r="U108" s="6"/>
      <c r="V108" s="11" t="str">
        <f t="shared" ref="V108:V137" si="13">IFERROR(IF(COUNT(O108,Q108,S108,U108)=0,"",IF(ISNUMBER(SEARCH("تراكمي",I108)),IF(ISNUMBER(U108),U108,IF(ISNUMBER(S108),S108,IF(ISNUMBER(Q108),Q108,O108))),IF(ISNUMBER(SEARCH("متوسط",I108)),AVERAGE(O108,Q108,S108,U108),IF(AND(ISNUMBER(SEARCH("سنوي",I108)),ISERROR(SEARCH("نصف",I108))),IF(ISNUMBER(U108),U108,""),SUM(O108,Q108,S108,U108))))),"-")</f>
        <v/>
      </c>
      <c r="W108" s="12" t="str">
        <f>IF(OR(NOT(ISNUMBER(L108)),NOT(ISNUMBER(V108))),"",IFERROR(IF(ISNUMBER(SEARCH("تنازلي",H108)),  IF(V108=0,100,(L108/V108)*100),  (V108/L108)*100),"-"))</f>
        <v/>
      </c>
      <c r="X108" s="12" t="str">
        <f t="shared" ref="X108:X137" si="14">IF(AND(ISNUMBER(W108),ISNUMBER(J108)),MIN(W108,100)/100*J108,"")</f>
        <v/>
      </c>
    </row>
    <row r="109" spans="1:24" ht="25.5" customHeight="1" x14ac:dyDescent="0.25">
      <c r="A109" s="19" t="str">
        <f>IF(B109="","",COUNTA(B$107:B109)-1)</f>
        <v/>
      </c>
      <c r="B109" s="20"/>
      <c r="C109" s="7"/>
      <c r="D109" s="8" t="str">
        <f>IFERROR(VLOOKUP($F$3,Data!$A:$B,2,0)&amp;"-F"&amp;TEXT(ROW()-ROW($D$107),"0"),"-F"&amp;TEXT(ROW()-ROW($D$107),"0"))</f>
        <v>-F2</v>
      </c>
      <c r="E109" s="9"/>
      <c r="F109" s="9"/>
      <c r="G109" s="9"/>
      <c r="H109" s="9"/>
      <c r="I109" s="9"/>
      <c r="J109" s="10"/>
      <c r="K109" s="6"/>
      <c r="L109" s="6"/>
      <c r="M109" s="11" t="str">
        <f t="shared" si="12"/>
        <v/>
      </c>
      <c r="N109" s="6"/>
      <c r="O109" s="6"/>
      <c r="P109" s="6"/>
      <c r="Q109" s="6"/>
      <c r="R109" s="6"/>
      <c r="S109" s="6"/>
      <c r="T109" s="6"/>
      <c r="U109" s="6"/>
      <c r="V109" s="11" t="str">
        <f t="shared" si="13"/>
        <v/>
      </c>
      <c r="W109" s="12" t="str">
        <f t="shared" ref="W109:W137" si="15">IF(OR(NOT(ISNUMBER(L109)),NOT(ISNUMBER(V109))),"",IFERROR(IF(ISNUMBER(SEARCH("تنازلي",H109)), IF(V109=0,100,(L109/V109)*100), (V109/L109)*100),"-"))</f>
        <v/>
      </c>
      <c r="X109" s="12" t="str">
        <f t="shared" si="14"/>
        <v/>
      </c>
    </row>
    <row r="110" spans="1:24" ht="25.5" customHeight="1" x14ac:dyDescent="0.25">
      <c r="A110" s="19" t="str">
        <f>IF(B110="","",COUNTA(B$107:B110)-1)</f>
        <v/>
      </c>
      <c r="B110" s="20"/>
      <c r="C110" s="7"/>
      <c r="D110" s="8" t="str">
        <f>IFERROR(VLOOKUP($F$3,Data!$A:$B,2,0)&amp;"-F"&amp;TEXT(ROW()-ROW($D$107),"0"),"-F"&amp;TEXT(ROW()-ROW($D$107),"0"))</f>
        <v>-F3</v>
      </c>
      <c r="E110" s="9"/>
      <c r="F110" s="9"/>
      <c r="G110" s="9"/>
      <c r="H110" s="9"/>
      <c r="I110" s="9"/>
      <c r="J110" s="10"/>
      <c r="K110" s="6"/>
      <c r="L110" s="6"/>
      <c r="M110" s="11" t="str">
        <f t="shared" si="12"/>
        <v/>
      </c>
      <c r="N110" s="6"/>
      <c r="O110" s="6"/>
      <c r="P110" s="6"/>
      <c r="Q110" s="6"/>
      <c r="R110" s="6"/>
      <c r="S110" s="6"/>
      <c r="T110" s="6"/>
      <c r="U110" s="6"/>
      <c r="V110" s="11" t="str">
        <f t="shared" si="13"/>
        <v/>
      </c>
      <c r="W110" s="12" t="str">
        <f t="shared" si="15"/>
        <v/>
      </c>
      <c r="X110" s="12" t="str">
        <f t="shared" si="14"/>
        <v/>
      </c>
    </row>
    <row r="111" spans="1:24" ht="25.5" customHeight="1" x14ac:dyDescent="0.25">
      <c r="A111" s="19" t="str">
        <f>IF(B111="","",COUNTA(B$107:B111)-1)</f>
        <v/>
      </c>
      <c r="B111" s="20"/>
      <c r="C111" s="7"/>
      <c r="D111" s="8" t="str">
        <f>IFERROR(VLOOKUP($F$3,Data!$A:$B,2,0)&amp;"-F"&amp;TEXT(ROW()-ROW($D$107),"0"),"-F"&amp;TEXT(ROW()-ROW($D$107),"0"))</f>
        <v>-F4</v>
      </c>
      <c r="E111" s="9"/>
      <c r="F111" s="9"/>
      <c r="G111" s="9"/>
      <c r="H111" s="9"/>
      <c r="I111" s="9"/>
      <c r="J111" s="10"/>
      <c r="K111" s="6"/>
      <c r="L111" s="6"/>
      <c r="M111" s="11" t="str">
        <f t="shared" si="12"/>
        <v/>
      </c>
      <c r="N111" s="6"/>
      <c r="O111" s="6"/>
      <c r="P111" s="6"/>
      <c r="Q111" s="6"/>
      <c r="R111" s="6"/>
      <c r="S111" s="6"/>
      <c r="T111" s="6"/>
      <c r="U111" s="6"/>
      <c r="V111" s="11" t="str">
        <f t="shared" si="13"/>
        <v/>
      </c>
      <c r="W111" s="12" t="str">
        <f t="shared" si="15"/>
        <v/>
      </c>
      <c r="X111" s="12" t="str">
        <f t="shared" si="14"/>
        <v/>
      </c>
    </row>
    <row r="112" spans="1:24" ht="25.5" customHeight="1" x14ac:dyDescent="0.25">
      <c r="A112" s="19" t="str">
        <f>IF(B112="","",COUNTA(B$107:B112)-1)</f>
        <v/>
      </c>
      <c r="B112" s="20"/>
      <c r="C112" s="7"/>
      <c r="D112" s="8" t="str">
        <f>IFERROR(VLOOKUP($F$3,Data!$A:$B,2,0)&amp;"-F"&amp;TEXT(ROW()-ROW($D$107),"0"),"-F"&amp;TEXT(ROW()-ROW($D$107),"0"))</f>
        <v>-F5</v>
      </c>
      <c r="E112" s="9"/>
      <c r="F112" s="9"/>
      <c r="G112" s="9"/>
      <c r="H112" s="9"/>
      <c r="I112" s="9"/>
      <c r="J112" s="10"/>
      <c r="K112" s="6"/>
      <c r="L112" s="6"/>
      <c r="M112" s="11" t="str">
        <f t="shared" si="12"/>
        <v/>
      </c>
      <c r="N112" s="6"/>
      <c r="O112" s="6"/>
      <c r="P112" s="6"/>
      <c r="Q112" s="6"/>
      <c r="R112" s="6"/>
      <c r="S112" s="6"/>
      <c r="T112" s="6"/>
      <c r="U112" s="6"/>
      <c r="V112" s="11" t="str">
        <f t="shared" si="13"/>
        <v/>
      </c>
      <c r="W112" s="12" t="str">
        <f t="shared" si="15"/>
        <v/>
      </c>
      <c r="X112" s="12" t="str">
        <f t="shared" si="14"/>
        <v/>
      </c>
    </row>
    <row r="113" spans="1:24" ht="25.5" customHeight="1" x14ac:dyDescent="0.25">
      <c r="A113" s="19" t="str">
        <f>IF(B113="","",COUNTA(B$107:B113)-1)</f>
        <v/>
      </c>
      <c r="B113" s="20"/>
      <c r="C113" s="7"/>
      <c r="D113" s="8" t="str">
        <f>IFERROR(VLOOKUP($F$3,Data!$A:$B,2,0)&amp;"-F"&amp;TEXT(ROW()-ROW($D$107),"0"),"-F"&amp;TEXT(ROW()-ROW($D$107),"0"))</f>
        <v>-F6</v>
      </c>
      <c r="E113" s="9"/>
      <c r="F113" s="9"/>
      <c r="G113" s="9"/>
      <c r="H113" s="9"/>
      <c r="I113" s="9"/>
      <c r="J113" s="10"/>
      <c r="K113" s="6"/>
      <c r="L113" s="6"/>
      <c r="M113" s="11" t="str">
        <f t="shared" si="12"/>
        <v/>
      </c>
      <c r="N113" s="6"/>
      <c r="O113" s="6"/>
      <c r="P113" s="6"/>
      <c r="Q113" s="6"/>
      <c r="R113" s="6"/>
      <c r="S113" s="6"/>
      <c r="T113" s="6"/>
      <c r="U113" s="6"/>
      <c r="V113" s="11" t="str">
        <f t="shared" si="13"/>
        <v/>
      </c>
      <c r="W113" s="12" t="str">
        <f t="shared" si="15"/>
        <v/>
      </c>
      <c r="X113" s="12" t="str">
        <f t="shared" si="14"/>
        <v/>
      </c>
    </row>
    <row r="114" spans="1:24" ht="25.5" customHeight="1" x14ac:dyDescent="0.25">
      <c r="A114" s="19" t="str">
        <f>IF(B114="","",COUNTA(B$107:B114)-1)</f>
        <v/>
      </c>
      <c r="B114" s="20"/>
      <c r="C114" s="7"/>
      <c r="D114" s="8" t="str">
        <f>IFERROR(VLOOKUP($F$3,Data!$A:$B,2,0)&amp;"-F"&amp;TEXT(ROW()-ROW($D$107),"0"),"-F"&amp;TEXT(ROW()-ROW($D$107),"0"))</f>
        <v>-F7</v>
      </c>
      <c r="E114" s="9"/>
      <c r="F114" s="9"/>
      <c r="G114" s="9"/>
      <c r="H114" s="9"/>
      <c r="I114" s="9"/>
      <c r="J114" s="10"/>
      <c r="K114" s="6"/>
      <c r="L114" s="6"/>
      <c r="M114" s="11" t="str">
        <f t="shared" si="12"/>
        <v/>
      </c>
      <c r="N114" s="6"/>
      <c r="O114" s="6"/>
      <c r="P114" s="6"/>
      <c r="Q114" s="6"/>
      <c r="R114" s="6"/>
      <c r="S114" s="6"/>
      <c r="T114" s="6"/>
      <c r="U114" s="6"/>
      <c r="V114" s="11" t="str">
        <f t="shared" si="13"/>
        <v/>
      </c>
      <c r="W114" s="12" t="str">
        <f t="shared" si="15"/>
        <v/>
      </c>
      <c r="X114" s="12" t="str">
        <f t="shared" si="14"/>
        <v/>
      </c>
    </row>
    <row r="115" spans="1:24" ht="25.5" customHeight="1" x14ac:dyDescent="0.25">
      <c r="A115" s="19" t="str">
        <f>IF(B115="","",COUNTA(B$107:B115)-1)</f>
        <v/>
      </c>
      <c r="B115" s="20"/>
      <c r="C115" s="7"/>
      <c r="D115" s="8" t="str">
        <f>IFERROR(VLOOKUP($F$3,Data!$A:$B,2,0)&amp;"-F"&amp;TEXT(ROW()-ROW($D$107),"0"),"-F"&amp;TEXT(ROW()-ROW($D$107),"0"))</f>
        <v>-F8</v>
      </c>
      <c r="E115" s="9"/>
      <c r="F115" s="9"/>
      <c r="G115" s="9"/>
      <c r="H115" s="9"/>
      <c r="I115" s="9"/>
      <c r="J115" s="10"/>
      <c r="K115" s="6"/>
      <c r="L115" s="6"/>
      <c r="M115" s="11" t="str">
        <f t="shared" si="12"/>
        <v/>
      </c>
      <c r="N115" s="6"/>
      <c r="O115" s="6"/>
      <c r="P115" s="6"/>
      <c r="Q115" s="6"/>
      <c r="R115" s="6"/>
      <c r="S115" s="6"/>
      <c r="T115" s="6"/>
      <c r="U115" s="6"/>
      <c r="V115" s="11" t="str">
        <f t="shared" si="13"/>
        <v/>
      </c>
      <c r="W115" s="12" t="str">
        <f t="shared" si="15"/>
        <v/>
      </c>
      <c r="X115" s="12" t="str">
        <f t="shared" si="14"/>
        <v/>
      </c>
    </row>
    <row r="116" spans="1:24" ht="25.5" customHeight="1" x14ac:dyDescent="0.25">
      <c r="A116" s="19" t="str">
        <f>IF(B116="","",COUNTA(B$107:B116)-1)</f>
        <v/>
      </c>
      <c r="B116" s="20"/>
      <c r="C116" s="7"/>
      <c r="D116" s="8" t="str">
        <f>IFERROR(VLOOKUP($F$3,Data!$A:$B,2,0)&amp;"-F"&amp;TEXT(ROW()-ROW($D$107),"0"),"-F"&amp;TEXT(ROW()-ROW($D$107),"0"))</f>
        <v>-F9</v>
      </c>
      <c r="E116" s="9"/>
      <c r="F116" s="9"/>
      <c r="G116" s="9"/>
      <c r="H116" s="9"/>
      <c r="I116" s="9"/>
      <c r="J116" s="10"/>
      <c r="K116" s="6"/>
      <c r="L116" s="6"/>
      <c r="M116" s="11" t="str">
        <f t="shared" si="12"/>
        <v/>
      </c>
      <c r="N116" s="6"/>
      <c r="O116" s="6"/>
      <c r="P116" s="6"/>
      <c r="Q116" s="6"/>
      <c r="R116" s="6"/>
      <c r="S116" s="6"/>
      <c r="T116" s="6"/>
      <c r="U116" s="6"/>
      <c r="V116" s="11" t="str">
        <f t="shared" si="13"/>
        <v/>
      </c>
      <c r="W116" s="12" t="str">
        <f t="shared" si="15"/>
        <v/>
      </c>
      <c r="X116" s="12" t="str">
        <f t="shared" si="14"/>
        <v/>
      </c>
    </row>
    <row r="117" spans="1:24" ht="25.5" customHeight="1" x14ac:dyDescent="0.25">
      <c r="A117" s="19" t="str">
        <f>IF(B117="","",COUNTA(B$107:B117)-1)</f>
        <v/>
      </c>
      <c r="B117" s="20"/>
      <c r="C117" s="7"/>
      <c r="D117" s="8" t="str">
        <f>IFERROR(VLOOKUP($F$3,Data!$A:$B,2,0)&amp;"-F"&amp;TEXT(ROW()-ROW($D$107),"0"),"-F"&amp;TEXT(ROW()-ROW($D$107),"0"))</f>
        <v>-F10</v>
      </c>
      <c r="E117" s="9"/>
      <c r="F117" s="9"/>
      <c r="G117" s="9"/>
      <c r="H117" s="9"/>
      <c r="I117" s="9"/>
      <c r="J117" s="10"/>
      <c r="K117" s="6"/>
      <c r="L117" s="6"/>
      <c r="M117" s="11" t="str">
        <f t="shared" si="12"/>
        <v/>
      </c>
      <c r="N117" s="6"/>
      <c r="O117" s="6"/>
      <c r="P117" s="6"/>
      <c r="Q117" s="6"/>
      <c r="R117" s="6"/>
      <c r="S117" s="6"/>
      <c r="T117" s="6"/>
      <c r="U117" s="6"/>
      <c r="V117" s="11" t="str">
        <f t="shared" si="13"/>
        <v/>
      </c>
      <c r="W117" s="12" t="str">
        <f t="shared" si="15"/>
        <v/>
      </c>
      <c r="X117" s="12" t="str">
        <f t="shared" si="14"/>
        <v/>
      </c>
    </row>
    <row r="118" spans="1:24" ht="25.5" customHeight="1" x14ac:dyDescent="0.25">
      <c r="A118" s="19" t="str">
        <f>IF(B118="","",COUNTA(B$107:B118)-1)</f>
        <v/>
      </c>
      <c r="B118" s="20"/>
      <c r="C118" s="7"/>
      <c r="D118" s="8" t="str">
        <f>IFERROR(VLOOKUP($F$3,Data!$A:$B,2,0)&amp;"-F"&amp;TEXT(ROW()-ROW($D$107),"0"),"-F"&amp;TEXT(ROW()-ROW($D$107),"0"))</f>
        <v>-F11</v>
      </c>
      <c r="E118" s="9"/>
      <c r="F118" s="9"/>
      <c r="G118" s="9"/>
      <c r="H118" s="9"/>
      <c r="I118" s="9"/>
      <c r="J118" s="10"/>
      <c r="K118" s="6"/>
      <c r="L118" s="6"/>
      <c r="M118" s="11" t="str">
        <f t="shared" si="12"/>
        <v/>
      </c>
      <c r="N118" s="6"/>
      <c r="O118" s="6"/>
      <c r="P118" s="6"/>
      <c r="Q118" s="6"/>
      <c r="R118" s="6"/>
      <c r="S118" s="6"/>
      <c r="T118" s="6"/>
      <c r="U118" s="6"/>
      <c r="V118" s="11" t="str">
        <f t="shared" si="13"/>
        <v/>
      </c>
      <c r="W118" s="12" t="str">
        <f t="shared" si="15"/>
        <v/>
      </c>
      <c r="X118" s="12" t="str">
        <f t="shared" si="14"/>
        <v/>
      </c>
    </row>
    <row r="119" spans="1:24" ht="25.5" customHeight="1" x14ac:dyDescent="0.25">
      <c r="A119" s="19" t="str">
        <f>IF(B119="","",COUNTA(B$107:B119)-1)</f>
        <v/>
      </c>
      <c r="B119" s="20"/>
      <c r="C119" s="7"/>
      <c r="D119" s="8" t="str">
        <f>IFERROR(VLOOKUP($F$3,Data!$A:$B,2,0)&amp;"-F"&amp;TEXT(ROW()-ROW($D$107),"0"),"-F"&amp;TEXT(ROW()-ROW($D$107),"0"))</f>
        <v>-F12</v>
      </c>
      <c r="E119" s="9"/>
      <c r="F119" s="9"/>
      <c r="G119" s="9"/>
      <c r="H119" s="9"/>
      <c r="I119" s="9"/>
      <c r="J119" s="10"/>
      <c r="K119" s="6"/>
      <c r="L119" s="6"/>
      <c r="M119" s="11" t="str">
        <f t="shared" si="12"/>
        <v/>
      </c>
      <c r="N119" s="6"/>
      <c r="O119" s="6"/>
      <c r="P119" s="6"/>
      <c r="Q119" s="6"/>
      <c r="R119" s="6"/>
      <c r="S119" s="6"/>
      <c r="T119" s="6"/>
      <c r="U119" s="6"/>
      <c r="V119" s="11" t="str">
        <f t="shared" si="13"/>
        <v/>
      </c>
      <c r="W119" s="12" t="str">
        <f t="shared" si="15"/>
        <v/>
      </c>
      <c r="X119" s="12" t="str">
        <f t="shared" si="14"/>
        <v/>
      </c>
    </row>
    <row r="120" spans="1:24" ht="25.5" customHeight="1" x14ac:dyDescent="0.25">
      <c r="A120" s="19" t="str">
        <f>IF(B120="","",COUNTA(B$107:B120)-1)</f>
        <v/>
      </c>
      <c r="B120" s="20"/>
      <c r="C120" s="7"/>
      <c r="D120" s="8" t="str">
        <f>IFERROR(VLOOKUP($F$3,Data!$A:$B,2,0)&amp;"-F"&amp;TEXT(ROW()-ROW($D$107),"0"),"-F"&amp;TEXT(ROW()-ROW($D$107),"0"))</f>
        <v>-F13</v>
      </c>
      <c r="E120" s="9"/>
      <c r="F120" s="9"/>
      <c r="G120" s="9"/>
      <c r="H120" s="9"/>
      <c r="I120" s="9"/>
      <c r="J120" s="10"/>
      <c r="K120" s="6"/>
      <c r="L120" s="6"/>
      <c r="M120" s="11" t="str">
        <f t="shared" si="12"/>
        <v/>
      </c>
      <c r="N120" s="6"/>
      <c r="O120" s="6"/>
      <c r="P120" s="6"/>
      <c r="Q120" s="6"/>
      <c r="R120" s="6"/>
      <c r="S120" s="6"/>
      <c r="T120" s="6"/>
      <c r="U120" s="6"/>
      <c r="V120" s="11" t="str">
        <f t="shared" si="13"/>
        <v/>
      </c>
      <c r="W120" s="12" t="str">
        <f t="shared" si="15"/>
        <v/>
      </c>
      <c r="X120" s="12" t="str">
        <f t="shared" si="14"/>
        <v/>
      </c>
    </row>
    <row r="121" spans="1:24" ht="25.5" customHeight="1" x14ac:dyDescent="0.25">
      <c r="A121" s="19" t="str">
        <f>IF(B121="","",COUNTA(B$107:B121)-1)</f>
        <v/>
      </c>
      <c r="B121" s="20"/>
      <c r="C121" s="7"/>
      <c r="D121" s="8" t="str">
        <f>IFERROR(VLOOKUP($F$3,Data!$A:$B,2,0)&amp;"-F"&amp;TEXT(ROW()-ROW($D$107),"0"),"-F"&amp;TEXT(ROW()-ROW($D$107),"0"))</f>
        <v>-F14</v>
      </c>
      <c r="E121" s="9"/>
      <c r="F121" s="9"/>
      <c r="G121" s="9"/>
      <c r="H121" s="9"/>
      <c r="I121" s="9"/>
      <c r="J121" s="10"/>
      <c r="K121" s="6"/>
      <c r="L121" s="6"/>
      <c r="M121" s="11" t="str">
        <f t="shared" si="12"/>
        <v/>
      </c>
      <c r="N121" s="6"/>
      <c r="O121" s="6"/>
      <c r="P121" s="6"/>
      <c r="Q121" s="6"/>
      <c r="R121" s="6"/>
      <c r="S121" s="6"/>
      <c r="T121" s="6"/>
      <c r="U121" s="6"/>
      <c r="V121" s="11" t="str">
        <f t="shared" si="13"/>
        <v/>
      </c>
      <c r="W121" s="12" t="str">
        <f t="shared" si="15"/>
        <v/>
      </c>
      <c r="X121" s="12" t="str">
        <f t="shared" si="14"/>
        <v/>
      </c>
    </row>
    <row r="122" spans="1:24" ht="25.5" customHeight="1" x14ac:dyDescent="0.25">
      <c r="A122" s="19" t="str">
        <f>IF(B122="","",COUNTA(B$107:B122)-1)</f>
        <v/>
      </c>
      <c r="B122" s="20"/>
      <c r="C122" s="7"/>
      <c r="D122" s="8" t="str">
        <f>IFERROR(VLOOKUP($F$3,Data!$A:$B,2,0)&amp;"-F"&amp;TEXT(ROW()-ROW($D$107),"0"),"-F"&amp;TEXT(ROW()-ROW($D$107),"0"))</f>
        <v>-F15</v>
      </c>
      <c r="E122" s="9"/>
      <c r="F122" s="9"/>
      <c r="G122" s="9"/>
      <c r="H122" s="9"/>
      <c r="I122" s="9"/>
      <c r="J122" s="10"/>
      <c r="K122" s="6"/>
      <c r="L122" s="6"/>
      <c r="M122" s="11" t="str">
        <f t="shared" si="12"/>
        <v/>
      </c>
      <c r="N122" s="6"/>
      <c r="O122" s="6"/>
      <c r="P122" s="6"/>
      <c r="Q122" s="6"/>
      <c r="R122" s="6"/>
      <c r="S122" s="6"/>
      <c r="T122" s="6"/>
      <c r="U122" s="6"/>
      <c r="V122" s="11" t="str">
        <f t="shared" si="13"/>
        <v/>
      </c>
      <c r="W122" s="12" t="str">
        <f t="shared" si="15"/>
        <v/>
      </c>
      <c r="X122" s="12" t="str">
        <f t="shared" si="14"/>
        <v/>
      </c>
    </row>
    <row r="123" spans="1:24" ht="25.5" customHeight="1" x14ac:dyDescent="0.25">
      <c r="A123" s="19" t="str">
        <f>IF(B123="","",COUNTA(B$107:B123)-1)</f>
        <v/>
      </c>
      <c r="B123" s="20"/>
      <c r="C123" s="7"/>
      <c r="D123" s="8" t="str">
        <f>IFERROR(VLOOKUP($F$3,Data!$A:$B,2,0)&amp;"-F"&amp;TEXT(ROW()-ROW($D$107),"0"),"-F"&amp;TEXT(ROW()-ROW($D$107),"0"))</f>
        <v>-F16</v>
      </c>
      <c r="E123" s="9"/>
      <c r="F123" s="9"/>
      <c r="G123" s="9"/>
      <c r="H123" s="9"/>
      <c r="I123" s="9"/>
      <c r="J123" s="10"/>
      <c r="K123" s="6"/>
      <c r="L123" s="6"/>
      <c r="M123" s="11" t="str">
        <f t="shared" si="12"/>
        <v/>
      </c>
      <c r="N123" s="6"/>
      <c r="O123" s="6"/>
      <c r="P123" s="6"/>
      <c r="Q123" s="6"/>
      <c r="R123" s="6"/>
      <c r="S123" s="6"/>
      <c r="T123" s="6"/>
      <c r="U123" s="6"/>
      <c r="V123" s="11" t="str">
        <f t="shared" si="13"/>
        <v/>
      </c>
      <c r="W123" s="12" t="str">
        <f t="shared" si="15"/>
        <v/>
      </c>
      <c r="X123" s="12" t="str">
        <f t="shared" si="14"/>
        <v/>
      </c>
    </row>
    <row r="124" spans="1:24" ht="25.5" customHeight="1" x14ac:dyDescent="0.25">
      <c r="A124" s="19" t="str">
        <f>IF(B124="","",COUNTA(B$107:B124)-1)</f>
        <v/>
      </c>
      <c r="B124" s="20"/>
      <c r="C124" s="7"/>
      <c r="D124" s="8" t="str">
        <f>IFERROR(VLOOKUP($F$3,Data!$A:$B,2,0)&amp;"-F"&amp;TEXT(ROW()-ROW($D$107),"0"),"-F"&amp;TEXT(ROW()-ROW($D$107),"0"))</f>
        <v>-F17</v>
      </c>
      <c r="E124" s="9"/>
      <c r="F124" s="9"/>
      <c r="G124" s="9"/>
      <c r="H124" s="9"/>
      <c r="I124" s="9"/>
      <c r="J124" s="10"/>
      <c r="K124" s="6"/>
      <c r="L124" s="6"/>
      <c r="M124" s="11" t="str">
        <f t="shared" si="12"/>
        <v/>
      </c>
      <c r="N124" s="6"/>
      <c r="O124" s="6"/>
      <c r="P124" s="6"/>
      <c r="Q124" s="6"/>
      <c r="R124" s="6"/>
      <c r="S124" s="6"/>
      <c r="T124" s="6"/>
      <c r="U124" s="6"/>
      <c r="V124" s="11" t="str">
        <f t="shared" si="13"/>
        <v/>
      </c>
      <c r="W124" s="12" t="str">
        <f t="shared" si="15"/>
        <v/>
      </c>
      <c r="X124" s="12" t="str">
        <f t="shared" si="14"/>
        <v/>
      </c>
    </row>
    <row r="125" spans="1:24" ht="25.5" customHeight="1" x14ac:dyDescent="0.25">
      <c r="A125" s="19" t="str">
        <f>IF(B125="","",COUNTA(B$107:B125)-1)</f>
        <v/>
      </c>
      <c r="B125" s="20"/>
      <c r="C125" s="7"/>
      <c r="D125" s="8" t="str">
        <f>IFERROR(VLOOKUP($F$3,Data!$A:$B,2,0)&amp;"-F"&amp;TEXT(ROW()-ROW($D$107),"0"),"-F"&amp;TEXT(ROW()-ROW($D$107),"0"))</f>
        <v>-F18</v>
      </c>
      <c r="E125" s="9"/>
      <c r="F125" s="9"/>
      <c r="G125" s="9"/>
      <c r="H125" s="9"/>
      <c r="I125" s="9"/>
      <c r="J125" s="10"/>
      <c r="K125" s="6"/>
      <c r="L125" s="6"/>
      <c r="M125" s="11" t="str">
        <f t="shared" si="12"/>
        <v/>
      </c>
      <c r="N125" s="6"/>
      <c r="O125" s="6"/>
      <c r="P125" s="6"/>
      <c r="Q125" s="6"/>
      <c r="R125" s="6"/>
      <c r="S125" s="6"/>
      <c r="T125" s="6"/>
      <c r="U125" s="6"/>
      <c r="V125" s="11" t="str">
        <f t="shared" si="13"/>
        <v/>
      </c>
      <c r="W125" s="12" t="str">
        <f t="shared" si="15"/>
        <v/>
      </c>
      <c r="X125" s="12" t="str">
        <f t="shared" si="14"/>
        <v/>
      </c>
    </row>
    <row r="126" spans="1:24" ht="25.5" customHeight="1" x14ac:dyDescent="0.25">
      <c r="A126" s="19" t="str">
        <f>IF(B126="","",COUNTA(B$107:B126)-1)</f>
        <v/>
      </c>
      <c r="B126" s="20"/>
      <c r="C126" s="7"/>
      <c r="D126" s="8" t="str">
        <f>IFERROR(VLOOKUP($F$3,Data!$A:$B,2,0)&amp;"-F"&amp;TEXT(ROW()-ROW($D$107),"0"),"-F"&amp;TEXT(ROW()-ROW($D$107),"0"))</f>
        <v>-F19</v>
      </c>
      <c r="E126" s="9"/>
      <c r="F126" s="9"/>
      <c r="G126" s="9"/>
      <c r="H126" s="9"/>
      <c r="I126" s="9"/>
      <c r="J126" s="10"/>
      <c r="K126" s="6"/>
      <c r="L126" s="6"/>
      <c r="M126" s="11" t="str">
        <f t="shared" si="12"/>
        <v/>
      </c>
      <c r="N126" s="6"/>
      <c r="O126" s="6"/>
      <c r="P126" s="6"/>
      <c r="Q126" s="6"/>
      <c r="R126" s="6"/>
      <c r="S126" s="6"/>
      <c r="T126" s="6"/>
      <c r="U126" s="6"/>
      <c r="V126" s="11" t="str">
        <f t="shared" si="13"/>
        <v/>
      </c>
      <c r="W126" s="12" t="str">
        <f t="shared" si="15"/>
        <v/>
      </c>
      <c r="X126" s="12" t="str">
        <f t="shared" si="14"/>
        <v/>
      </c>
    </row>
    <row r="127" spans="1:24" ht="25.5" customHeight="1" x14ac:dyDescent="0.25">
      <c r="A127" s="19" t="str">
        <f>IF(B127="","",COUNTA(B$107:B127)-1)</f>
        <v/>
      </c>
      <c r="B127" s="20"/>
      <c r="C127" s="7"/>
      <c r="D127" s="8" t="str">
        <f>IFERROR(VLOOKUP($F$3,Data!$A:$B,2,0)&amp;"-F"&amp;TEXT(ROW()-ROW($D$107),"0"),"-F"&amp;TEXT(ROW()-ROW($D$107),"0"))</f>
        <v>-F20</v>
      </c>
      <c r="E127" s="9"/>
      <c r="F127" s="9"/>
      <c r="G127" s="9"/>
      <c r="H127" s="9"/>
      <c r="I127" s="9"/>
      <c r="J127" s="10"/>
      <c r="K127" s="6"/>
      <c r="L127" s="6"/>
      <c r="M127" s="11" t="str">
        <f t="shared" si="12"/>
        <v/>
      </c>
      <c r="N127" s="6"/>
      <c r="O127" s="6"/>
      <c r="P127" s="6"/>
      <c r="Q127" s="6"/>
      <c r="R127" s="6"/>
      <c r="S127" s="6"/>
      <c r="T127" s="6"/>
      <c r="U127" s="6"/>
      <c r="V127" s="11" t="str">
        <f t="shared" si="13"/>
        <v/>
      </c>
      <c r="W127" s="12" t="str">
        <f t="shared" si="15"/>
        <v/>
      </c>
      <c r="X127" s="12" t="str">
        <f t="shared" si="14"/>
        <v/>
      </c>
    </row>
    <row r="128" spans="1:24" ht="25.5" customHeight="1" x14ac:dyDescent="0.25">
      <c r="A128" s="19" t="str">
        <f>IF(B128="","",COUNTA(B$107:B128)-1)</f>
        <v/>
      </c>
      <c r="B128" s="20"/>
      <c r="C128" s="7"/>
      <c r="D128" s="8" t="str">
        <f>IFERROR(VLOOKUP($F$3,Data!$A:$B,2,0)&amp;"-F"&amp;TEXT(ROW()-ROW($D$107),"0"),"-F"&amp;TEXT(ROW()-ROW($D$107),"0"))</f>
        <v>-F21</v>
      </c>
      <c r="E128" s="9"/>
      <c r="F128" s="9"/>
      <c r="G128" s="9"/>
      <c r="H128" s="9"/>
      <c r="I128" s="9"/>
      <c r="J128" s="10"/>
      <c r="K128" s="6"/>
      <c r="L128" s="6"/>
      <c r="M128" s="11" t="str">
        <f t="shared" si="12"/>
        <v/>
      </c>
      <c r="N128" s="6"/>
      <c r="O128" s="6"/>
      <c r="P128" s="6"/>
      <c r="Q128" s="6"/>
      <c r="R128" s="6"/>
      <c r="S128" s="6"/>
      <c r="T128" s="6"/>
      <c r="U128" s="6"/>
      <c r="V128" s="11" t="str">
        <f t="shared" si="13"/>
        <v/>
      </c>
      <c r="W128" s="12" t="str">
        <f t="shared" si="15"/>
        <v/>
      </c>
      <c r="X128" s="12" t="str">
        <f t="shared" si="14"/>
        <v/>
      </c>
    </row>
    <row r="129" spans="1:24" ht="25.5" customHeight="1" x14ac:dyDescent="0.25">
      <c r="A129" s="19" t="str">
        <f>IF(B129="","",COUNTA(B$107:B129)-1)</f>
        <v/>
      </c>
      <c r="B129" s="20"/>
      <c r="C129" s="7"/>
      <c r="D129" s="8" t="str">
        <f>IFERROR(VLOOKUP($F$3,Data!$A:$B,2,0)&amp;"-F"&amp;TEXT(ROW()-ROW($D$107),"0"),"-F"&amp;TEXT(ROW()-ROW($D$107),"0"))</f>
        <v>-F22</v>
      </c>
      <c r="E129" s="9"/>
      <c r="F129" s="9"/>
      <c r="G129" s="9"/>
      <c r="H129" s="9"/>
      <c r="I129" s="9"/>
      <c r="J129" s="10"/>
      <c r="K129" s="6"/>
      <c r="L129" s="6"/>
      <c r="M129" s="11" t="str">
        <f t="shared" si="12"/>
        <v/>
      </c>
      <c r="N129" s="6"/>
      <c r="O129" s="6"/>
      <c r="P129" s="6"/>
      <c r="Q129" s="6"/>
      <c r="R129" s="6"/>
      <c r="S129" s="6"/>
      <c r="T129" s="6"/>
      <c r="U129" s="6"/>
      <c r="V129" s="11" t="str">
        <f t="shared" si="13"/>
        <v/>
      </c>
      <c r="W129" s="12" t="str">
        <f t="shared" si="15"/>
        <v/>
      </c>
      <c r="X129" s="12" t="str">
        <f t="shared" si="14"/>
        <v/>
      </c>
    </row>
    <row r="130" spans="1:24" ht="25.5" customHeight="1" x14ac:dyDescent="0.25">
      <c r="A130" s="19" t="str">
        <f>IF(B130="","",COUNTA(B$107:B130)-1)</f>
        <v/>
      </c>
      <c r="B130" s="20"/>
      <c r="C130" s="7"/>
      <c r="D130" s="8" t="str">
        <f>IFERROR(VLOOKUP($F$3,Data!$A:$B,2,0)&amp;"-F"&amp;TEXT(ROW()-ROW($D$107),"0"),"-F"&amp;TEXT(ROW()-ROW($D$107),"0"))</f>
        <v>-F23</v>
      </c>
      <c r="E130" s="9"/>
      <c r="F130" s="9"/>
      <c r="G130" s="9"/>
      <c r="H130" s="9"/>
      <c r="I130" s="9"/>
      <c r="J130" s="10"/>
      <c r="K130" s="6"/>
      <c r="L130" s="6"/>
      <c r="M130" s="11" t="str">
        <f t="shared" si="12"/>
        <v/>
      </c>
      <c r="N130" s="6"/>
      <c r="O130" s="6"/>
      <c r="P130" s="6"/>
      <c r="Q130" s="6"/>
      <c r="R130" s="6"/>
      <c r="S130" s="6"/>
      <c r="T130" s="6"/>
      <c r="U130" s="6"/>
      <c r="V130" s="11" t="str">
        <f t="shared" si="13"/>
        <v/>
      </c>
      <c r="W130" s="12" t="str">
        <f t="shared" si="15"/>
        <v/>
      </c>
      <c r="X130" s="12" t="str">
        <f t="shared" si="14"/>
        <v/>
      </c>
    </row>
    <row r="131" spans="1:24" ht="25.5" customHeight="1" x14ac:dyDescent="0.25">
      <c r="A131" s="19" t="str">
        <f>IF(B131="","",COUNTA(B$107:B131)-1)</f>
        <v/>
      </c>
      <c r="B131" s="20"/>
      <c r="C131" s="7"/>
      <c r="D131" s="8" t="str">
        <f>IFERROR(VLOOKUP($F$3,Data!$A:$B,2,0)&amp;"-F"&amp;TEXT(ROW()-ROW($D$107),"0"),"-F"&amp;TEXT(ROW()-ROW($D$107),"0"))</f>
        <v>-F24</v>
      </c>
      <c r="E131" s="9"/>
      <c r="F131" s="9"/>
      <c r="G131" s="9"/>
      <c r="H131" s="9"/>
      <c r="I131" s="9"/>
      <c r="J131" s="10"/>
      <c r="K131" s="6"/>
      <c r="L131" s="6"/>
      <c r="M131" s="11" t="str">
        <f t="shared" si="12"/>
        <v/>
      </c>
      <c r="N131" s="6"/>
      <c r="O131" s="6"/>
      <c r="P131" s="6"/>
      <c r="Q131" s="6"/>
      <c r="R131" s="6"/>
      <c r="S131" s="6"/>
      <c r="T131" s="6"/>
      <c r="U131" s="6"/>
      <c r="V131" s="11" t="str">
        <f t="shared" si="13"/>
        <v/>
      </c>
      <c r="W131" s="12" t="str">
        <f t="shared" si="15"/>
        <v/>
      </c>
      <c r="X131" s="12" t="str">
        <f t="shared" si="14"/>
        <v/>
      </c>
    </row>
    <row r="132" spans="1:24" ht="25.5" customHeight="1" x14ac:dyDescent="0.25">
      <c r="A132" s="19" t="str">
        <f>IF(B132="","",COUNTA(B$107:B132)-1)</f>
        <v/>
      </c>
      <c r="B132" s="20"/>
      <c r="C132" s="7"/>
      <c r="D132" s="8" t="str">
        <f>IFERROR(VLOOKUP($F$3,Data!$A:$B,2,0)&amp;"-F"&amp;TEXT(ROW()-ROW($D$107),"0"),"-F"&amp;TEXT(ROW()-ROW($D$107),"0"))</f>
        <v>-F25</v>
      </c>
      <c r="E132" s="9"/>
      <c r="F132" s="9"/>
      <c r="G132" s="9"/>
      <c r="H132" s="9"/>
      <c r="I132" s="9"/>
      <c r="J132" s="10"/>
      <c r="K132" s="6"/>
      <c r="L132" s="6"/>
      <c r="M132" s="11" t="str">
        <f t="shared" si="12"/>
        <v/>
      </c>
      <c r="N132" s="6"/>
      <c r="O132" s="6"/>
      <c r="P132" s="6"/>
      <c r="Q132" s="6"/>
      <c r="R132" s="6"/>
      <c r="S132" s="6"/>
      <c r="T132" s="6"/>
      <c r="U132" s="6"/>
      <c r="V132" s="11" t="str">
        <f t="shared" si="13"/>
        <v/>
      </c>
      <c r="W132" s="12" t="str">
        <f t="shared" si="15"/>
        <v/>
      </c>
      <c r="X132" s="12" t="str">
        <f t="shared" si="14"/>
        <v/>
      </c>
    </row>
    <row r="133" spans="1:24" ht="25.5" customHeight="1" x14ac:dyDescent="0.25">
      <c r="A133" s="19" t="str">
        <f>IF(B133="","",COUNTA(B$107:B133)-1)</f>
        <v/>
      </c>
      <c r="B133" s="20"/>
      <c r="C133" s="7"/>
      <c r="D133" s="8" t="str">
        <f>IFERROR(VLOOKUP($F$3,Data!$A:$B,2,0)&amp;"-F"&amp;TEXT(ROW()-ROW($D$107),"0"),"-F"&amp;TEXT(ROW()-ROW($D$107),"0"))</f>
        <v>-F26</v>
      </c>
      <c r="E133" s="9"/>
      <c r="F133" s="9"/>
      <c r="G133" s="9"/>
      <c r="H133" s="9"/>
      <c r="I133" s="9"/>
      <c r="J133" s="10"/>
      <c r="K133" s="6"/>
      <c r="L133" s="6"/>
      <c r="M133" s="11" t="str">
        <f t="shared" si="12"/>
        <v/>
      </c>
      <c r="N133" s="6"/>
      <c r="O133" s="6"/>
      <c r="P133" s="6"/>
      <c r="Q133" s="6"/>
      <c r="R133" s="6"/>
      <c r="S133" s="6"/>
      <c r="T133" s="6"/>
      <c r="U133" s="6"/>
      <c r="V133" s="11" t="str">
        <f t="shared" si="13"/>
        <v/>
      </c>
      <c r="W133" s="12" t="str">
        <f t="shared" si="15"/>
        <v/>
      </c>
      <c r="X133" s="12" t="str">
        <f t="shared" si="14"/>
        <v/>
      </c>
    </row>
    <row r="134" spans="1:24" ht="25.5" customHeight="1" x14ac:dyDescent="0.25">
      <c r="A134" s="19" t="str">
        <f>IF(B134="","",COUNTA(B$107:B134)-1)</f>
        <v/>
      </c>
      <c r="B134" s="20"/>
      <c r="C134" s="7"/>
      <c r="D134" s="8" t="str">
        <f>IFERROR(VLOOKUP($F$3,Data!$A:$B,2,0)&amp;"-F"&amp;TEXT(ROW()-ROW($D$107),"0"),"-F"&amp;TEXT(ROW()-ROW($D$107),"0"))</f>
        <v>-F27</v>
      </c>
      <c r="E134" s="9"/>
      <c r="F134" s="9"/>
      <c r="G134" s="9"/>
      <c r="H134" s="9"/>
      <c r="I134" s="9"/>
      <c r="J134" s="10"/>
      <c r="K134" s="6"/>
      <c r="L134" s="6"/>
      <c r="M134" s="11" t="str">
        <f t="shared" si="12"/>
        <v/>
      </c>
      <c r="N134" s="6"/>
      <c r="O134" s="6"/>
      <c r="P134" s="6"/>
      <c r="Q134" s="6"/>
      <c r="R134" s="6"/>
      <c r="S134" s="6"/>
      <c r="T134" s="6"/>
      <c r="U134" s="6"/>
      <c r="V134" s="11" t="str">
        <f t="shared" si="13"/>
        <v/>
      </c>
      <c r="W134" s="12" t="str">
        <f t="shared" si="15"/>
        <v/>
      </c>
      <c r="X134" s="12" t="str">
        <f t="shared" si="14"/>
        <v/>
      </c>
    </row>
    <row r="135" spans="1:24" ht="25.5" customHeight="1" x14ac:dyDescent="0.25">
      <c r="A135" s="19" t="str">
        <f>IF(B135="","",COUNTA(B$107:B135)-1)</f>
        <v/>
      </c>
      <c r="B135" s="20"/>
      <c r="C135" s="7"/>
      <c r="D135" s="8" t="str">
        <f>IFERROR(VLOOKUP($F$3,Data!$A:$B,2,0)&amp;"-F"&amp;TEXT(ROW()-ROW($D$107),"0"),"-F"&amp;TEXT(ROW()-ROW($D$107),"0"))</f>
        <v>-F28</v>
      </c>
      <c r="E135" s="9"/>
      <c r="F135" s="9"/>
      <c r="G135" s="9"/>
      <c r="H135" s="9"/>
      <c r="I135" s="9"/>
      <c r="J135" s="10"/>
      <c r="K135" s="6"/>
      <c r="L135" s="6"/>
      <c r="M135" s="11" t="str">
        <f t="shared" si="12"/>
        <v/>
      </c>
      <c r="N135" s="6"/>
      <c r="O135" s="6"/>
      <c r="P135" s="6"/>
      <c r="Q135" s="6"/>
      <c r="R135" s="6"/>
      <c r="S135" s="6"/>
      <c r="T135" s="6"/>
      <c r="U135" s="6"/>
      <c r="V135" s="11" t="str">
        <f t="shared" si="13"/>
        <v/>
      </c>
      <c r="W135" s="12" t="str">
        <f t="shared" si="15"/>
        <v/>
      </c>
      <c r="X135" s="12" t="str">
        <f t="shared" si="14"/>
        <v/>
      </c>
    </row>
    <row r="136" spans="1:24" ht="25.5" customHeight="1" x14ac:dyDescent="0.25">
      <c r="A136" s="19" t="str">
        <f>IF(B136="","",COUNTA(B$107:B136)-1)</f>
        <v/>
      </c>
      <c r="B136" s="20"/>
      <c r="C136" s="7"/>
      <c r="D136" s="8" t="str">
        <f>IFERROR(VLOOKUP($F$3,Data!$A:$B,2,0)&amp;"-F"&amp;TEXT(ROW()-ROW($D$107),"0"),"-F"&amp;TEXT(ROW()-ROW($D$107),"0"))</f>
        <v>-F29</v>
      </c>
      <c r="E136" s="9"/>
      <c r="F136" s="9"/>
      <c r="G136" s="9"/>
      <c r="H136" s="9"/>
      <c r="I136" s="9"/>
      <c r="J136" s="10"/>
      <c r="K136" s="6"/>
      <c r="L136" s="6"/>
      <c r="M136" s="11" t="str">
        <f t="shared" si="12"/>
        <v/>
      </c>
      <c r="N136" s="6"/>
      <c r="O136" s="6"/>
      <c r="P136" s="6"/>
      <c r="Q136" s="6"/>
      <c r="R136" s="6"/>
      <c r="S136" s="6"/>
      <c r="T136" s="6"/>
      <c r="U136" s="6"/>
      <c r="V136" s="11" t="str">
        <f t="shared" si="13"/>
        <v/>
      </c>
      <c r="W136" s="12" t="str">
        <f t="shared" si="15"/>
        <v/>
      </c>
      <c r="X136" s="12" t="str">
        <f t="shared" si="14"/>
        <v/>
      </c>
    </row>
    <row r="137" spans="1:24" ht="25.5" customHeight="1" x14ac:dyDescent="0.25">
      <c r="A137" s="19" t="str">
        <f>IF(B137="","",COUNTA(B$107:B137)-1)</f>
        <v/>
      </c>
      <c r="B137" s="20"/>
      <c r="C137" s="7"/>
      <c r="D137" s="8" t="str">
        <f>IFERROR(VLOOKUP($F$3,Data!$A:$B,2,0)&amp;"-F"&amp;TEXT(ROW()-ROW($D$107),"0"),"-F"&amp;TEXT(ROW()-ROW($D$107),"0"))</f>
        <v>-F30</v>
      </c>
      <c r="E137" s="9"/>
      <c r="F137" s="9"/>
      <c r="G137" s="9"/>
      <c r="H137" s="9"/>
      <c r="I137" s="9"/>
      <c r="J137" s="10"/>
      <c r="K137" s="6"/>
      <c r="L137" s="6"/>
      <c r="M137" s="11" t="str">
        <f t="shared" si="12"/>
        <v/>
      </c>
      <c r="N137" s="6"/>
      <c r="O137" s="6"/>
      <c r="P137" s="6"/>
      <c r="Q137" s="6"/>
      <c r="R137" s="6"/>
      <c r="S137" s="6"/>
      <c r="T137" s="6"/>
      <c r="U137" s="6"/>
      <c r="V137" s="11" t="str">
        <f t="shared" si="13"/>
        <v/>
      </c>
      <c r="W137" s="12" t="str">
        <f t="shared" si="15"/>
        <v/>
      </c>
      <c r="X137" s="12" t="str">
        <f t="shared" si="14"/>
        <v/>
      </c>
    </row>
    <row r="138" spans="1:24" ht="20.25" customHeight="1" x14ac:dyDescent="0.25">
      <c r="A138" s="113" t="s">
        <v>35</v>
      </c>
      <c r="B138" s="87"/>
      <c r="C138" s="87"/>
      <c r="D138" s="87"/>
      <c r="E138" s="87"/>
      <c r="F138" s="87"/>
      <c r="G138" s="87"/>
      <c r="H138" s="87"/>
      <c r="I138" s="87"/>
      <c r="J138" s="13">
        <f>SUM(J107:INDEX(J:J,ROW()-1))</f>
        <v>0</v>
      </c>
      <c r="K138" s="14"/>
      <c r="L138" s="14"/>
      <c r="M138" s="14"/>
      <c r="N138" s="14"/>
      <c r="O138" s="14"/>
      <c r="P138" s="14"/>
      <c r="Q138" s="14"/>
      <c r="R138" s="14"/>
      <c r="S138" s="14"/>
      <c r="T138" s="14"/>
      <c r="U138" s="14"/>
      <c r="V138" s="14"/>
      <c r="W138" s="14"/>
      <c r="X138" s="13" t="str">
        <f>IF(COUNT(X107:INDEX(X:X,ROW()-1))=0,"",SUM(X107:INDEX(X:X,ROW()-1)))</f>
        <v/>
      </c>
    </row>
    <row r="139" spans="1:24" ht="7.5" customHeight="1" x14ac:dyDescent="0.25"/>
    <row r="140" spans="1:24" ht="24" customHeight="1" x14ac:dyDescent="0.25">
      <c r="A140" s="105" t="s">
        <v>39</v>
      </c>
      <c r="B140" s="87"/>
      <c r="C140" s="87"/>
      <c r="D140" s="87"/>
      <c r="E140" s="87"/>
      <c r="F140" s="87"/>
      <c r="G140" s="87"/>
      <c r="H140" s="87"/>
      <c r="I140" s="87"/>
      <c r="J140" s="17">
        <f>J36+J70+J104+J138</f>
        <v>0</v>
      </c>
      <c r="K140" s="18"/>
      <c r="L140" s="18"/>
      <c r="M140" s="18"/>
      <c r="N140" s="18"/>
      <c r="O140" s="18"/>
      <c r="P140" s="18"/>
      <c r="Q140" s="18"/>
      <c r="R140" s="18"/>
      <c r="S140" s="18"/>
      <c r="T140" s="18"/>
      <c r="U140" s="18"/>
      <c r="V140" s="18"/>
      <c r="W140" s="18"/>
      <c r="X140" s="17" t="str">
        <f>IF(COUNT(X36,X70,X104,X138)=0,"",SUM(X36,X70,X104,X138))</f>
        <v/>
      </c>
    </row>
  </sheetData>
  <mergeCells count="28">
    <mergeCell ref="V106:X106"/>
    <mergeCell ref="N4:U4"/>
    <mergeCell ref="E106:L106"/>
    <mergeCell ref="B38:D38"/>
    <mergeCell ref="N106:U106"/>
    <mergeCell ref="A104:I104"/>
    <mergeCell ref="E4:L4"/>
    <mergeCell ref="E72:L72"/>
    <mergeCell ref="A70:I70"/>
    <mergeCell ref="A140:I140"/>
    <mergeCell ref="P3:R3"/>
    <mergeCell ref="F3:I3"/>
    <mergeCell ref="N38:U38"/>
    <mergeCell ref="B4:D4"/>
    <mergeCell ref="B106:D106"/>
    <mergeCell ref="B72:D72"/>
    <mergeCell ref="J3:K3"/>
    <mergeCell ref="A36:I36"/>
    <mergeCell ref="A138:I138"/>
    <mergeCell ref="V4:X4"/>
    <mergeCell ref="A1:X1"/>
    <mergeCell ref="V72:X72"/>
    <mergeCell ref="C3:D3"/>
    <mergeCell ref="A2:X2"/>
    <mergeCell ref="N72:U72"/>
    <mergeCell ref="E38:L38"/>
    <mergeCell ref="L3:N3"/>
    <mergeCell ref="V38:X38"/>
  </mergeCells>
  <conditionalFormatting sqref="A6:B36">
    <cfRule type="expression" dxfId="12" priority="1">
      <formula>$B6&lt;&gt;""</formula>
    </cfRule>
  </conditionalFormatting>
  <conditionalFormatting sqref="A40:B70">
    <cfRule type="expression" dxfId="11" priority="4">
      <formula>$B40&lt;&gt;""</formula>
    </cfRule>
  </conditionalFormatting>
  <conditionalFormatting sqref="A74:B104">
    <cfRule type="expression" dxfId="10" priority="7">
      <formula>$B74&lt;&gt;""</formula>
    </cfRule>
  </conditionalFormatting>
  <conditionalFormatting sqref="A108:B138">
    <cfRule type="expression" dxfId="9" priority="10">
      <formula>$B108&lt;&gt;""</formula>
    </cfRule>
  </conditionalFormatting>
  <conditionalFormatting sqref="G6:G35">
    <cfRule type="expression" dxfId="8" priority="2">
      <formula>AND($E6&lt;&gt;"",$G6&lt;&gt;"",OR(AND(ISNUMBER(SEARCH("نوعي",$E6)),ISERROR(SEARCH("ليكرت",$G6))),AND(ISNUMBER(SEARCH("نسبي",$E6)),ISERROR(SEARCH("نسبة",$G6))),AND(ISNUMBER(SEARCH("عددي",$E6)),OR(ISNUMBER(SEARCH("نسبة",$G6)),ISNUMBER(SEARCH("ليكرت",$G6))))))</formula>
    </cfRule>
  </conditionalFormatting>
  <conditionalFormatting sqref="G40:G69">
    <cfRule type="expression" dxfId="7" priority="5">
      <formula>AND($E40&lt;&gt;"",$G40&lt;&gt;"",OR(AND(ISNUMBER(SEARCH("نوعي",$E40)),ISERROR(SEARCH("ليكرت",$G40))),AND(ISNUMBER(SEARCH("نسبي",$E40)),ISERROR(SEARCH("نسبة",$G40))),AND(ISNUMBER(SEARCH("عددي",$E40)),OR(ISNUMBER(SEARCH("نسبة",$G40)),ISNUMBER(SEARCH("ليكرت",$G40))))))</formula>
    </cfRule>
  </conditionalFormatting>
  <conditionalFormatting sqref="G74:G103">
    <cfRule type="expression" dxfId="6" priority="8">
      <formula>AND($E74&lt;&gt;"",$G74&lt;&gt;"",OR(AND(ISNUMBER(SEARCH("نوعي",$E74)),ISERROR(SEARCH("ليكرت",$G74))),AND(ISNUMBER(SEARCH("نسبي",$E74)),ISERROR(SEARCH("نسبة",$G74))),AND(ISNUMBER(SEARCH("عددي",$E74)),OR(ISNUMBER(SEARCH("نسبة",$G74)),ISNUMBER(SEARCH("ليكرت",$G74))))))</formula>
    </cfRule>
  </conditionalFormatting>
  <conditionalFormatting sqref="G108:G137">
    <cfRule type="expression" dxfId="5" priority="11">
      <formula>AND($E108&lt;&gt;"",$G108&lt;&gt;"",OR(AND(ISNUMBER(SEARCH("نوعي",$E108)),ISERROR(SEARCH("ليكرت",$G108))),AND(ISNUMBER(SEARCH("نسبي",$E108)),ISERROR(SEARCH("نسبة",$G108))),AND(ISNUMBER(SEARCH("عددي",$E108)),OR(ISNUMBER(SEARCH("نسبة",$G108)),ISNUMBER(SEARCH("ليكرت",$G108))))))</formula>
    </cfRule>
  </conditionalFormatting>
  <conditionalFormatting sqref="I6:I35">
    <cfRule type="expression" dxfId="4" priority="3">
      <formula>AND($I6&lt;&gt;"",OR(ISNUMBER(SEARCH("نوعي",$E6)),ISNUMBER(SEARCH("ليكرت",$G6))),ISERROR(SEARCH("متوسط",$I6)),OR(ISNUMBER(SEARCH("نصف",$I6)),ISNUMBER(SEARCH("ربعي",$I6))))</formula>
    </cfRule>
  </conditionalFormatting>
  <conditionalFormatting sqref="I40:I69">
    <cfRule type="expression" dxfId="3" priority="6">
      <formula>AND($I40&lt;&gt;"",OR(ISNUMBER(SEARCH("نوعي",$E40)),ISNUMBER(SEARCH("ليكرت",$G40))),ISERROR(SEARCH("متوسط",$I40)),OR(ISNUMBER(SEARCH("نصف",$I40)),ISNUMBER(SEARCH("ربعي",$I40))))</formula>
    </cfRule>
  </conditionalFormatting>
  <conditionalFormatting sqref="I74:I103">
    <cfRule type="expression" dxfId="2" priority="9">
      <formula>AND($I74&lt;&gt;"",OR(ISNUMBER(SEARCH("نوعي",$E74)),ISNUMBER(SEARCH("ليكرت",$G74))),ISERROR(SEARCH("متوسط",$I74)),OR(ISNUMBER(SEARCH("نصف",$I74)),ISNUMBER(SEARCH("ربعي",$I74))))</formula>
    </cfRule>
  </conditionalFormatting>
  <conditionalFormatting sqref="I108:I137">
    <cfRule type="expression" dxfId="1" priority="12">
      <formula>AND($I108&lt;&gt;"",OR(ISNUMBER(SEARCH("نوعي",$E108)),ISNUMBER(SEARCH("ليكرت",$G108))),ISERROR(SEARCH("متوسط",$I108)),OR(ISNUMBER(SEARCH("نصف",$I108)),ISNUMBER(SEARCH("ربعي",$I108))))</formula>
    </cfRule>
  </conditionalFormatting>
  <dataValidations count="11">
    <dataValidation type="list" allowBlank="1" showErrorMessage="1" errorTitle="اسم المؤسسة" error="اختر قيمة من القائمة / Choose a value from the list" sqref="F3" xr:uid="{00000000-0002-0000-0200-000000000000}">
      <formula1>lst_Institution</formula1>
    </dataValidation>
    <dataValidation type="list" allowBlank="1" showErrorMessage="1" errorTitle="اسم المؤسسة" error="اختر قيمة من القائمة / Choose a value from the list" sqref="P3" xr:uid="{00000000-0002-0000-0200-000001000000}">
      <formula1>lst_Period</formula1>
    </dataValidation>
    <dataValidation type="list" allowBlank="1" showErrorMessage="1" errorTitle="اسم المؤسسة" error="اختر قيمة من القائمة / Choose a value from the list" sqref="E6:E35 E40:E69 E74:E103 E108:E137" xr:uid="{00000000-0002-0000-0200-000002000000}">
      <formula1>lst_Measure</formula1>
    </dataValidation>
    <dataValidation type="list" allowBlank="1" showErrorMessage="1" errorTitle="اسم المؤسسة" error="اختر قيمة من القائمة / Choose a value from the list" sqref="F6:F35 F40:F69 F74:F103 F108:F137" xr:uid="{00000000-0002-0000-0200-000003000000}">
      <formula1>lst_Role</formula1>
    </dataValidation>
    <dataValidation type="list" allowBlank="1" showErrorMessage="1" errorTitle="اسم المؤسسة" error="اختر قيمة من القائمة / Choose a value from the list" sqref="H6:H35 H40:H69 H74:H103 H108:H137" xr:uid="{00000000-0002-0000-0200-000004000000}">
      <formula1>lst_Polarity</formula1>
    </dataValidation>
    <dataValidation type="list" allowBlank="1" showErrorMessage="1" errorTitle="اسم المؤسسة" error="اختر قيمة من القائمة / Choose a value from the list" sqref="G6:G35 G40:G69 G74:G103 G108:G137" xr:uid="{00000000-0002-0000-0200-000005000000}">
      <formula1>IF(ISNUMBER(SEARCH("نوعي",$E6)),lst_Unit_Qual,IF(ISNUMBER(SEARCH("نسبي",$E6)),lst_Unit_Pct,IF(ISNUMBER(SEARCH("عددي",$E6)),lst_Unit_Num,lst_Unit)))</formula1>
    </dataValidation>
    <dataValidation type="list" allowBlank="1" showErrorMessage="1" errorTitle="اسم المؤسسة" error="اختر قيمة من القائمة / Choose a value from the list" sqref="I6:I35 I40:I69 I74:I103 I108:I137" xr:uid="{00000000-0002-0000-0200-000006000000}">
      <formula1>IF(OR(ISNUMBER(SEARCH("نوعي",$E6)),ISNUMBER(SEARCH("ليكرت",$G6))),lst_Freq_Qual,lst_Frequency)</formula1>
    </dataValidation>
    <dataValidation type="custom" allowBlank="1" showErrorMessage="1" errorTitle="الوزن / Weight" error="أدخل رقمًا دون علامة % (مثال: 5). مجموع أوزان المنظور يجب ألا يتجاوز 25._x000a_Enter a number without the % sign (e.g. 5). The perspective's total weight must not exceed 25." sqref="J6:J35" xr:uid="{00000000-0002-0000-0200-000007000000}">
      <formula1>AND(ISNUMBER(J6),J6&gt;=0,SUM($J$6:$J$35)&lt;=25)</formula1>
    </dataValidation>
    <dataValidation type="custom" allowBlank="1" showErrorMessage="1" errorTitle="الوزن / Weight" error="أدخل رقمًا دون علامة % (مثال: 5). مجموع أوزان المنظور يجب ألا يتجاوز 25._x000a_Enter a number without the % sign (e.g. 5). The perspective's total weight must not exceed 25." sqref="J40:J69" xr:uid="{00000000-0002-0000-0200-000008000000}">
      <formula1>AND(ISNUMBER(J40),J40&gt;=0,SUM($J$40:$J$69)&lt;=25)</formula1>
    </dataValidation>
    <dataValidation type="custom" allowBlank="1" showErrorMessage="1" errorTitle="الوزن / Weight" error="أدخل رقمًا دون علامة % (مثال: 5). مجموع أوزان المنظور يجب ألا يتجاوز 25._x000a_Enter a number without the % sign (e.g. 5). The perspective's total weight must not exceed 25." sqref="J74:J103" xr:uid="{00000000-0002-0000-0200-000009000000}">
      <formula1>AND(ISNUMBER(J74),J74&gt;=0,SUM($J$74:$J$103)&lt;=25)</formula1>
    </dataValidation>
    <dataValidation type="custom" allowBlank="1" showErrorMessage="1" errorTitle="الوزن / Weight" error="أدخل رقمًا دون علامة % (مثال: 5). مجموع أوزان المنظور يجب ألا يتجاوز 25._x000a_Enter a number without the % sign (e.g. 5). The perspective's total weight must not exceed 25." sqref="J108:J137" xr:uid="{00000000-0002-0000-0200-00000A000000}">
      <formula1>AND(ISNUMBER(J108),J108&gt;=0,SUM($J$108:$J$137)&lt;=25)</formula1>
    </dataValidation>
  </dataValidation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K97"/>
  <sheetViews>
    <sheetView showGridLines="0" rightToLeft="1" tabSelected="1" topLeftCell="A82" workbookViewId="0">
      <selection activeCell="B85" sqref="B85"/>
    </sheetView>
  </sheetViews>
  <sheetFormatPr defaultRowHeight="15" x14ac:dyDescent="0.25"/>
  <cols>
    <col min="1" max="1" width="5" customWidth="1"/>
    <col min="2" max="2" width="10" customWidth="1"/>
    <col min="3" max="3" width="33" customWidth="1"/>
    <col min="4" max="4" width="32" customWidth="1"/>
    <col min="5" max="6" width="18" customWidth="1"/>
    <col min="7" max="7" width="15" customWidth="1"/>
    <col min="8" max="9" width="12" customWidth="1"/>
    <col min="10" max="10" width="13" customWidth="1"/>
    <col min="11" max="11" width="21.28515625" customWidth="1"/>
  </cols>
  <sheetData>
    <row r="1" spans="1:11" ht="48.75" customHeight="1" x14ac:dyDescent="0.25">
      <c r="A1" s="74" t="s">
        <v>0</v>
      </c>
      <c r="B1" s="75"/>
      <c r="C1" s="75"/>
      <c r="D1" s="75"/>
      <c r="E1" s="75"/>
      <c r="F1" s="75"/>
      <c r="G1" s="75"/>
      <c r="H1" s="75"/>
      <c r="I1" s="75"/>
      <c r="J1" s="75"/>
      <c r="K1" s="76"/>
    </row>
    <row r="2" spans="1:11" ht="41.25" customHeight="1" x14ac:dyDescent="0.25">
      <c r="A2" s="78" t="s">
        <v>385</v>
      </c>
      <c r="B2" s="75"/>
      <c r="C2" s="75"/>
      <c r="D2" s="75"/>
      <c r="E2" s="75"/>
      <c r="F2" s="75"/>
      <c r="G2" s="75"/>
      <c r="H2" s="75"/>
      <c r="I2" s="75"/>
      <c r="J2" s="75"/>
      <c r="K2" s="76"/>
    </row>
    <row r="3" spans="1:11" ht="36" customHeight="1" x14ac:dyDescent="0.25">
      <c r="A3" s="81" t="s">
        <v>3</v>
      </c>
      <c r="B3" s="75"/>
      <c r="C3" s="76"/>
      <c r="D3" s="83" t="str">
        <f>IF('KPI Tracking'!F3="","",'KPI Tracking'!F3)</f>
        <v/>
      </c>
      <c r="E3" s="76"/>
      <c r="F3" s="21" t="s">
        <v>5</v>
      </c>
      <c r="G3" s="22" t="str">
        <f>IF('KPI Tracking'!P3="","",'KPI Tracking'!P3)</f>
        <v/>
      </c>
      <c r="H3" s="85" t="s">
        <v>386</v>
      </c>
      <c r="I3" s="75"/>
      <c r="J3" s="75"/>
      <c r="K3" s="76"/>
    </row>
    <row r="5" spans="1:11" ht="30" customHeight="1" x14ac:dyDescent="0.25">
      <c r="A5" s="82" t="s">
        <v>387</v>
      </c>
      <c r="B5" s="75"/>
      <c r="C5" s="75"/>
      <c r="D5" s="75"/>
      <c r="E5" s="75"/>
      <c r="F5" s="75"/>
      <c r="G5" s="75"/>
      <c r="H5" s="75"/>
      <c r="I5" s="75"/>
      <c r="J5" s="75"/>
      <c r="K5" s="76"/>
    </row>
    <row r="6" spans="1:11" ht="56.1" customHeight="1" x14ac:dyDescent="0.25">
      <c r="A6" s="23" t="s">
        <v>11</v>
      </c>
      <c r="B6" s="23" t="s">
        <v>5</v>
      </c>
      <c r="C6" s="23" t="s">
        <v>388</v>
      </c>
      <c r="D6" s="23" t="s">
        <v>389</v>
      </c>
      <c r="E6" s="23" t="s">
        <v>390</v>
      </c>
      <c r="F6" s="23" t="s">
        <v>391</v>
      </c>
      <c r="G6" s="23" t="s">
        <v>392</v>
      </c>
      <c r="H6" s="23" t="s">
        <v>393</v>
      </c>
      <c r="I6" s="23" t="s">
        <v>394</v>
      </c>
      <c r="J6" s="23" t="s">
        <v>33</v>
      </c>
      <c r="K6" s="23" t="s">
        <v>395</v>
      </c>
    </row>
    <row r="7" spans="1:11" ht="21.95" customHeight="1" x14ac:dyDescent="0.25">
      <c r="A7" s="24" t="str">
        <f>IF(D7="","",COUNTA(D$7:D7))</f>
        <v/>
      </c>
      <c r="B7" s="25"/>
      <c r="C7" s="26"/>
      <c r="D7" s="26"/>
      <c r="E7" s="26"/>
      <c r="F7" s="26"/>
      <c r="G7" s="27"/>
      <c r="H7" s="27"/>
      <c r="I7" s="27"/>
      <c r="J7" s="28" t="str">
        <f t="shared" ref="J7:J38" si="0">IF(AND(ISNUMBER(H7),ISNUMBER(I7),H7&lt;&gt;0),I7/H7,"")</f>
        <v/>
      </c>
      <c r="K7" s="29"/>
    </row>
    <row r="8" spans="1:11" ht="21.95" customHeight="1" x14ac:dyDescent="0.25">
      <c r="A8" s="24" t="str">
        <f>IF(D8="","",COUNTA(D$7:D8))</f>
        <v/>
      </c>
      <c r="B8" s="25"/>
      <c r="C8" s="26"/>
      <c r="D8" s="26"/>
      <c r="E8" s="26"/>
      <c r="F8" s="26"/>
      <c r="G8" s="27"/>
      <c r="H8" s="27"/>
      <c r="I8" s="27"/>
      <c r="J8" s="28" t="str">
        <f t="shared" si="0"/>
        <v/>
      </c>
      <c r="K8" s="29"/>
    </row>
    <row r="9" spans="1:11" ht="21.95" customHeight="1" x14ac:dyDescent="0.25">
      <c r="A9" s="24" t="str">
        <f>IF(D9="","",COUNTA(D$7:D9))</f>
        <v/>
      </c>
      <c r="B9" s="25"/>
      <c r="C9" s="26"/>
      <c r="D9" s="26"/>
      <c r="E9" s="26"/>
      <c r="F9" s="26"/>
      <c r="G9" s="27"/>
      <c r="H9" s="27"/>
      <c r="I9" s="27"/>
      <c r="J9" s="28" t="str">
        <f t="shared" si="0"/>
        <v/>
      </c>
      <c r="K9" s="29"/>
    </row>
    <row r="10" spans="1:11" ht="21.95" customHeight="1" x14ac:dyDescent="0.25">
      <c r="A10" s="24" t="str">
        <f>IF(D10="","",COUNTA(D$7:D10))</f>
        <v/>
      </c>
      <c r="B10" s="25"/>
      <c r="C10" s="26"/>
      <c r="D10" s="26"/>
      <c r="E10" s="26"/>
      <c r="F10" s="26"/>
      <c r="G10" s="27"/>
      <c r="H10" s="27"/>
      <c r="I10" s="27"/>
      <c r="J10" s="28" t="str">
        <f t="shared" si="0"/>
        <v/>
      </c>
      <c r="K10" s="29"/>
    </row>
    <row r="11" spans="1:11" ht="21.95" customHeight="1" x14ac:dyDescent="0.25">
      <c r="A11" s="24" t="str">
        <f>IF(D11="","",COUNTA(D$7:D11))</f>
        <v/>
      </c>
      <c r="B11" s="25"/>
      <c r="C11" s="26"/>
      <c r="D11" s="26"/>
      <c r="E11" s="26"/>
      <c r="F11" s="26"/>
      <c r="G11" s="27"/>
      <c r="H11" s="27"/>
      <c r="I11" s="27"/>
      <c r="J11" s="28" t="str">
        <f t="shared" si="0"/>
        <v/>
      </c>
      <c r="K11" s="29"/>
    </row>
    <row r="12" spans="1:11" ht="21.95" customHeight="1" x14ac:dyDescent="0.25">
      <c r="A12" s="24" t="str">
        <f>IF(D12="","",COUNTA(D$7:D12))</f>
        <v/>
      </c>
      <c r="B12" s="25"/>
      <c r="C12" s="26"/>
      <c r="D12" s="26"/>
      <c r="E12" s="26"/>
      <c r="F12" s="26"/>
      <c r="G12" s="27"/>
      <c r="H12" s="27"/>
      <c r="I12" s="27"/>
      <c r="J12" s="28" t="str">
        <f t="shared" si="0"/>
        <v/>
      </c>
      <c r="K12" s="29"/>
    </row>
    <row r="13" spans="1:11" ht="21.95" customHeight="1" x14ac:dyDescent="0.25">
      <c r="A13" s="24" t="str">
        <f>IF(D13="","",COUNTA(D$7:D13))</f>
        <v/>
      </c>
      <c r="B13" s="25"/>
      <c r="C13" s="26"/>
      <c r="D13" s="26"/>
      <c r="E13" s="26"/>
      <c r="F13" s="26"/>
      <c r="G13" s="27"/>
      <c r="H13" s="27"/>
      <c r="I13" s="27"/>
      <c r="J13" s="28" t="str">
        <f t="shared" si="0"/>
        <v/>
      </c>
      <c r="K13" s="29"/>
    </row>
    <row r="14" spans="1:11" ht="21.95" customHeight="1" x14ac:dyDescent="0.25">
      <c r="A14" s="24" t="str">
        <f>IF(D14="","",COUNTA(D$7:D14))</f>
        <v/>
      </c>
      <c r="B14" s="25"/>
      <c r="C14" s="26"/>
      <c r="D14" s="26"/>
      <c r="E14" s="26"/>
      <c r="F14" s="26"/>
      <c r="G14" s="27"/>
      <c r="H14" s="27"/>
      <c r="I14" s="27"/>
      <c r="J14" s="28" t="str">
        <f t="shared" si="0"/>
        <v/>
      </c>
      <c r="K14" s="29"/>
    </row>
    <row r="15" spans="1:11" ht="21.95" customHeight="1" x14ac:dyDescent="0.25">
      <c r="A15" s="24" t="str">
        <f>IF(D15="","",COUNTA(D$7:D15))</f>
        <v/>
      </c>
      <c r="B15" s="25"/>
      <c r="C15" s="26"/>
      <c r="D15" s="26"/>
      <c r="E15" s="26"/>
      <c r="F15" s="26"/>
      <c r="G15" s="27"/>
      <c r="H15" s="27"/>
      <c r="I15" s="27"/>
      <c r="J15" s="28" t="str">
        <f t="shared" si="0"/>
        <v/>
      </c>
      <c r="K15" s="29"/>
    </row>
    <row r="16" spans="1:11" ht="21.95" customHeight="1" x14ac:dyDescent="0.25">
      <c r="A16" s="24" t="str">
        <f>IF(D16="","",COUNTA(D$7:D16))</f>
        <v/>
      </c>
      <c r="B16" s="25"/>
      <c r="C16" s="26"/>
      <c r="D16" s="26"/>
      <c r="E16" s="26"/>
      <c r="F16" s="26"/>
      <c r="G16" s="27"/>
      <c r="H16" s="27"/>
      <c r="I16" s="27"/>
      <c r="J16" s="28" t="str">
        <f t="shared" si="0"/>
        <v/>
      </c>
      <c r="K16" s="29"/>
    </row>
    <row r="17" spans="1:11" ht="21.95" customHeight="1" x14ac:dyDescent="0.25">
      <c r="A17" s="24" t="str">
        <f>IF(D17="","",COUNTA(D$7:D17))</f>
        <v/>
      </c>
      <c r="B17" s="25"/>
      <c r="C17" s="26"/>
      <c r="D17" s="26"/>
      <c r="E17" s="26"/>
      <c r="F17" s="26"/>
      <c r="G17" s="27"/>
      <c r="H17" s="27"/>
      <c r="I17" s="27"/>
      <c r="J17" s="28" t="str">
        <f t="shared" si="0"/>
        <v/>
      </c>
      <c r="K17" s="29"/>
    </row>
    <row r="18" spans="1:11" ht="21.95" customHeight="1" x14ac:dyDescent="0.25">
      <c r="A18" s="24" t="str">
        <f>IF(D18="","",COUNTA(D$7:D18))</f>
        <v/>
      </c>
      <c r="B18" s="25"/>
      <c r="C18" s="26"/>
      <c r="D18" s="26"/>
      <c r="E18" s="26"/>
      <c r="F18" s="26"/>
      <c r="G18" s="27"/>
      <c r="H18" s="27"/>
      <c r="I18" s="27"/>
      <c r="J18" s="28" t="str">
        <f t="shared" si="0"/>
        <v/>
      </c>
      <c r="K18" s="29"/>
    </row>
    <row r="19" spans="1:11" ht="21.95" customHeight="1" x14ac:dyDescent="0.25">
      <c r="A19" s="24" t="str">
        <f>IF(D19="","",COUNTA(D$7:D19))</f>
        <v/>
      </c>
      <c r="B19" s="25"/>
      <c r="C19" s="26"/>
      <c r="D19" s="26"/>
      <c r="E19" s="26"/>
      <c r="F19" s="26"/>
      <c r="G19" s="27"/>
      <c r="H19" s="27"/>
      <c r="I19" s="27"/>
      <c r="J19" s="28" t="str">
        <f t="shared" si="0"/>
        <v/>
      </c>
      <c r="K19" s="29"/>
    </row>
    <row r="20" spans="1:11" ht="21.95" customHeight="1" x14ac:dyDescent="0.25">
      <c r="A20" s="24" t="str">
        <f>IF(D20="","",COUNTA(D$7:D20))</f>
        <v/>
      </c>
      <c r="B20" s="25"/>
      <c r="C20" s="26"/>
      <c r="D20" s="26"/>
      <c r="E20" s="26"/>
      <c r="F20" s="26"/>
      <c r="G20" s="27"/>
      <c r="H20" s="27"/>
      <c r="I20" s="27"/>
      <c r="J20" s="28" t="str">
        <f t="shared" si="0"/>
        <v/>
      </c>
      <c r="K20" s="29"/>
    </row>
    <row r="21" spans="1:11" ht="21.95" customHeight="1" x14ac:dyDescent="0.25">
      <c r="A21" s="24" t="str">
        <f>IF(D21="","",COUNTA(D$7:D21))</f>
        <v/>
      </c>
      <c r="B21" s="25"/>
      <c r="C21" s="26"/>
      <c r="D21" s="26"/>
      <c r="E21" s="26"/>
      <c r="F21" s="26"/>
      <c r="G21" s="27"/>
      <c r="H21" s="27"/>
      <c r="I21" s="27"/>
      <c r="J21" s="28" t="str">
        <f t="shared" si="0"/>
        <v/>
      </c>
      <c r="K21" s="29"/>
    </row>
    <row r="22" spans="1:11" ht="21.95" customHeight="1" x14ac:dyDescent="0.25">
      <c r="A22" s="24" t="str">
        <f>IF(D22="","",COUNTA(D$7:D22))</f>
        <v/>
      </c>
      <c r="B22" s="25"/>
      <c r="C22" s="26"/>
      <c r="D22" s="26"/>
      <c r="E22" s="26"/>
      <c r="F22" s="26"/>
      <c r="G22" s="27"/>
      <c r="H22" s="27"/>
      <c r="I22" s="27"/>
      <c r="J22" s="28" t="str">
        <f t="shared" si="0"/>
        <v/>
      </c>
      <c r="K22" s="29"/>
    </row>
    <row r="23" spans="1:11" ht="21.95" customHeight="1" x14ac:dyDescent="0.25">
      <c r="A23" s="24" t="str">
        <f>IF(D23="","",COUNTA(D$7:D23))</f>
        <v/>
      </c>
      <c r="B23" s="25"/>
      <c r="C23" s="26"/>
      <c r="D23" s="26"/>
      <c r="E23" s="26"/>
      <c r="F23" s="26"/>
      <c r="G23" s="27"/>
      <c r="H23" s="27"/>
      <c r="I23" s="27"/>
      <c r="J23" s="28" t="str">
        <f t="shared" si="0"/>
        <v/>
      </c>
      <c r="K23" s="29"/>
    </row>
    <row r="24" spans="1:11" ht="21.95" customHeight="1" x14ac:dyDescent="0.25">
      <c r="A24" s="24" t="str">
        <f>IF(D24="","",COUNTA(D$7:D24))</f>
        <v/>
      </c>
      <c r="B24" s="25"/>
      <c r="C24" s="26"/>
      <c r="D24" s="26"/>
      <c r="E24" s="26"/>
      <c r="F24" s="26"/>
      <c r="G24" s="27"/>
      <c r="H24" s="27"/>
      <c r="I24" s="27"/>
      <c r="J24" s="28" t="str">
        <f t="shared" si="0"/>
        <v/>
      </c>
      <c r="K24" s="29"/>
    </row>
    <row r="25" spans="1:11" ht="21.95" customHeight="1" x14ac:dyDescent="0.25">
      <c r="A25" s="24" t="str">
        <f>IF(D25="","",COUNTA(D$7:D25))</f>
        <v/>
      </c>
      <c r="B25" s="25"/>
      <c r="C25" s="26"/>
      <c r="D25" s="26"/>
      <c r="E25" s="26"/>
      <c r="F25" s="26"/>
      <c r="G25" s="27"/>
      <c r="H25" s="27"/>
      <c r="I25" s="27"/>
      <c r="J25" s="28" t="str">
        <f t="shared" si="0"/>
        <v/>
      </c>
      <c r="K25" s="29"/>
    </row>
    <row r="26" spans="1:11" ht="21.95" customHeight="1" x14ac:dyDescent="0.25">
      <c r="A26" s="24" t="str">
        <f>IF(D26="","",COUNTA(D$7:D26))</f>
        <v/>
      </c>
      <c r="B26" s="25"/>
      <c r="C26" s="26"/>
      <c r="D26" s="26"/>
      <c r="E26" s="26"/>
      <c r="F26" s="26"/>
      <c r="G26" s="27"/>
      <c r="H26" s="27"/>
      <c r="I26" s="27"/>
      <c r="J26" s="28" t="str">
        <f t="shared" si="0"/>
        <v/>
      </c>
      <c r="K26" s="29"/>
    </row>
    <row r="27" spans="1:11" ht="21.95" customHeight="1" x14ac:dyDescent="0.25">
      <c r="A27" s="24" t="str">
        <f>IF(D27="","",COUNTA(D$7:D27))</f>
        <v/>
      </c>
      <c r="B27" s="25"/>
      <c r="C27" s="26"/>
      <c r="D27" s="26"/>
      <c r="E27" s="26"/>
      <c r="F27" s="26"/>
      <c r="G27" s="27"/>
      <c r="H27" s="27"/>
      <c r="I27" s="27"/>
      <c r="J27" s="28" t="str">
        <f t="shared" si="0"/>
        <v/>
      </c>
      <c r="K27" s="29"/>
    </row>
    <row r="28" spans="1:11" ht="21.95" customHeight="1" x14ac:dyDescent="0.25">
      <c r="A28" s="24" t="str">
        <f>IF(D28="","",COUNTA(D$7:D28))</f>
        <v/>
      </c>
      <c r="B28" s="25"/>
      <c r="C28" s="26"/>
      <c r="D28" s="26"/>
      <c r="E28" s="26"/>
      <c r="F28" s="26"/>
      <c r="G28" s="27"/>
      <c r="H28" s="27"/>
      <c r="I28" s="27"/>
      <c r="J28" s="28" t="str">
        <f t="shared" si="0"/>
        <v/>
      </c>
      <c r="K28" s="29"/>
    </row>
    <row r="29" spans="1:11" ht="21.95" customHeight="1" x14ac:dyDescent="0.25">
      <c r="A29" s="24" t="str">
        <f>IF(D29="","",COUNTA(D$7:D29))</f>
        <v/>
      </c>
      <c r="B29" s="25"/>
      <c r="C29" s="26"/>
      <c r="D29" s="26"/>
      <c r="E29" s="26"/>
      <c r="F29" s="26"/>
      <c r="G29" s="27"/>
      <c r="H29" s="27"/>
      <c r="I29" s="27"/>
      <c r="J29" s="28" t="str">
        <f t="shared" si="0"/>
        <v/>
      </c>
      <c r="K29" s="29"/>
    </row>
    <row r="30" spans="1:11" ht="21.95" customHeight="1" x14ac:dyDescent="0.25">
      <c r="A30" s="24" t="str">
        <f>IF(D30="","",COUNTA(D$7:D30))</f>
        <v/>
      </c>
      <c r="B30" s="25"/>
      <c r="C30" s="26"/>
      <c r="D30" s="26"/>
      <c r="E30" s="26"/>
      <c r="F30" s="26"/>
      <c r="G30" s="27"/>
      <c r="H30" s="27"/>
      <c r="I30" s="27"/>
      <c r="J30" s="28" t="str">
        <f t="shared" si="0"/>
        <v/>
      </c>
      <c r="K30" s="29"/>
    </row>
    <row r="31" spans="1:11" ht="21.95" customHeight="1" x14ac:dyDescent="0.25">
      <c r="A31" s="24" t="str">
        <f>IF(D31="","",COUNTA(D$7:D31))</f>
        <v/>
      </c>
      <c r="B31" s="25"/>
      <c r="C31" s="26"/>
      <c r="D31" s="26"/>
      <c r="E31" s="26"/>
      <c r="F31" s="26"/>
      <c r="G31" s="27"/>
      <c r="H31" s="27"/>
      <c r="I31" s="27"/>
      <c r="J31" s="28" t="str">
        <f t="shared" si="0"/>
        <v/>
      </c>
      <c r="K31" s="29"/>
    </row>
    <row r="32" spans="1:11" ht="21.95" customHeight="1" x14ac:dyDescent="0.25">
      <c r="A32" s="24" t="str">
        <f>IF(D32="","",COUNTA(D$7:D32))</f>
        <v/>
      </c>
      <c r="B32" s="25"/>
      <c r="C32" s="26"/>
      <c r="D32" s="26"/>
      <c r="E32" s="26"/>
      <c r="F32" s="26"/>
      <c r="G32" s="27"/>
      <c r="H32" s="27"/>
      <c r="I32" s="27"/>
      <c r="J32" s="28" t="str">
        <f t="shared" si="0"/>
        <v/>
      </c>
      <c r="K32" s="29"/>
    </row>
    <row r="33" spans="1:11" ht="21.95" customHeight="1" x14ac:dyDescent="0.25">
      <c r="A33" s="24" t="str">
        <f>IF(D33="","",COUNTA(D$7:D33))</f>
        <v/>
      </c>
      <c r="B33" s="25"/>
      <c r="C33" s="26"/>
      <c r="D33" s="26"/>
      <c r="E33" s="26"/>
      <c r="F33" s="26"/>
      <c r="G33" s="27"/>
      <c r="H33" s="27"/>
      <c r="I33" s="27"/>
      <c r="J33" s="28" t="str">
        <f t="shared" si="0"/>
        <v/>
      </c>
      <c r="K33" s="29"/>
    </row>
    <row r="34" spans="1:11" ht="21.95" customHeight="1" x14ac:dyDescent="0.25">
      <c r="A34" s="24" t="str">
        <f>IF(D34="","",COUNTA(D$7:D34))</f>
        <v/>
      </c>
      <c r="B34" s="25"/>
      <c r="C34" s="26"/>
      <c r="D34" s="26"/>
      <c r="E34" s="26"/>
      <c r="F34" s="26"/>
      <c r="G34" s="27"/>
      <c r="H34" s="27"/>
      <c r="I34" s="27"/>
      <c r="J34" s="28" t="str">
        <f t="shared" si="0"/>
        <v/>
      </c>
      <c r="K34" s="29"/>
    </row>
    <row r="35" spans="1:11" ht="21.95" customHeight="1" x14ac:dyDescent="0.25">
      <c r="A35" s="24" t="str">
        <f>IF(D35="","",COUNTA(D$7:D35))</f>
        <v/>
      </c>
      <c r="B35" s="25"/>
      <c r="C35" s="26"/>
      <c r="D35" s="26"/>
      <c r="E35" s="26"/>
      <c r="F35" s="26"/>
      <c r="G35" s="27"/>
      <c r="H35" s="27"/>
      <c r="I35" s="27"/>
      <c r="J35" s="28" t="str">
        <f t="shared" si="0"/>
        <v/>
      </c>
      <c r="K35" s="29"/>
    </row>
    <row r="36" spans="1:11" ht="21.95" customHeight="1" x14ac:dyDescent="0.25">
      <c r="A36" s="24" t="str">
        <f>IF(D36="","",COUNTA(D$7:D36))</f>
        <v/>
      </c>
      <c r="B36" s="25"/>
      <c r="C36" s="26"/>
      <c r="D36" s="26"/>
      <c r="E36" s="26"/>
      <c r="F36" s="26"/>
      <c r="G36" s="27"/>
      <c r="H36" s="27"/>
      <c r="I36" s="27"/>
      <c r="J36" s="28" t="str">
        <f t="shared" si="0"/>
        <v/>
      </c>
      <c r="K36" s="29"/>
    </row>
    <row r="37" spans="1:11" ht="21.95" customHeight="1" x14ac:dyDescent="0.25">
      <c r="A37" s="24" t="str">
        <f>IF(D37="","",COUNTA(D$7:D37))</f>
        <v/>
      </c>
      <c r="B37" s="25"/>
      <c r="C37" s="26"/>
      <c r="D37" s="26"/>
      <c r="E37" s="26"/>
      <c r="F37" s="26"/>
      <c r="G37" s="27"/>
      <c r="H37" s="27"/>
      <c r="I37" s="27"/>
      <c r="J37" s="28" t="str">
        <f t="shared" si="0"/>
        <v/>
      </c>
      <c r="K37" s="29"/>
    </row>
    <row r="38" spans="1:11" ht="21.95" customHeight="1" x14ac:dyDescent="0.25">
      <c r="A38" s="24" t="str">
        <f>IF(D38="","",COUNTA(D$7:D38))</f>
        <v/>
      </c>
      <c r="B38" s="25"/>
      <c r="C38" s="26"/>
      <c r="D38" s="26"/>
      <c r="E38" s="26"/>
      <c r="F38" s="26"/>
      <c r="G38" s="27"/>
      <c r="H38" s="27"/>
      <c r="I38" s="27"/>
      <c r="J38" s="28" t="str">
        <f t="shared" si="0"/>
        <v/>
      </c>
      <c r="K38" s="29"/>
    </row>
    <row r="39" spans="1:11" ht="21.95" customHeight="1" x14ac:dyDescent="0.25">
      <c r="A39" s="24" t="str">
        <f>IF(D39="","",COUNTA(D$7:D39))</f>
        <v/>
      </c>
      <c r="B39" s="25"/>
      <c r="C39" s="26"/>
      <c r="D39" s="26"/>
      <c r="E39" s="26"/>
      <c r="F39" s="26"/>
      <c r="G39" s="27"/>
      <c r="H39" s="27"/>
      <c r="I39" s="27"/>
      <c r="J39" s="28" t="str">
        <f t="shared" ref="J39:J70" si="1">IF(AND(ISNUMBER(H39),ISNUMBER(I39),H39&lt;&gt;0),I39/H39,"")</f>
        <v/>
      </c>
      <c r="K39" s="29"/>
    </row>
    <row r="40" spans="1:11" ht="21.95" customHeight="1" x14ac:dyDescent="0.25">
      <c r="A40" s="24" t="str">
        <f>IF(D40="","",COUNTA(D$7:D40))</f>
        <v/>
      </c>
      <c r="B40" s="25"/>
      <c r="C40" s="26"/>
      <c r="D40" s="26"/>
      <c r="E40" s="26"/>
      <c r="F40" s="26"/>
      <c r="G40" s="27"/>
      <c r="H40" s="27"/>
      <c r="I40" s="27"/>
      <c r="J40" s="28" t="str">
        <f t="shared" si="1"/>
        <v/>
      </c>
      <c r="K40" s="29"/>
    </row>
    <row r="41" spans="1:11" ht="21.95" customHeight="1" x14ac:dyDescent="0.25">
      <c r="A41" s="24" t="str">
        <f>IF(D41="","",COUNTA(D$7:D41))</f>
        <v/>
      </c>
      <c r="B41" s="25"/>
      <c r="C41" s="26"/>
      <c r="D41" s="26"/>
      <c r="E41" s="26"/>
      <c r="F41" s="26"/>
      <c r="G41" s="27"/>
      <c r="H41" s="27"/>
      <c r="I41" s="27"/>
      <c r="J41" s="28" t="str">
        <f t="shared" si="1"/>
        <v/>
      </c>
      <c r="K41" s="29"/>
    </row>
    <row r="42" spans="1:11" ht="21.95" customHeight="1" x14ac:dyDescent="0.25">
      <c r="A42" s="24" t="str">
        <f>IF(D42="","",COUNTA(D$7:D42))</f>
        <v/>
      </c>
      <c r="B42" s="25"/>
      <c r="C42" s="26"/>
      <c r="D42" s="26"/>
      <c r="E42" s="26"/>
      <c r="F42" s="26"/>
      <c r="G42" s="27"/>
      <c r="H42" s="27"/>
      <c r="I42" s="27"/>
      <c r="J42" s="28" t="str">
        <f t="shared" si="1"/>
        <v/>
      </c>
      <c r="K42" s="29"/>
    </row>
    <row r="43" spans="1:11" ht="21.95" customHeight="1" x14ac:dyDescent="0.25">
      <c r="A43" s="24" t="str">
        <f>IF(D43="","",COUNTA(D$7:D43))</f>
        <v/>
      </c>
      <c r="B43" s="25"/>
      <c r="C43" s="26"/>
      <c r="D43" s="26"/>
      <c r="E43" s="26"/>
      <c r="F43" s="26"/>
      <c r="G43" s="27"/>
      <c r="H43" s="27"/>
      <c r="I43" s="27"/>
      <c r="J43" s="28" t="str">
        <f t="shared" si="1"/>
        <v/>
      </c>
      <c r="K43" s="29"/>
    </row>
    <row r="44" spans="1:11" ht="21.95" customHeight="1" x14ac:dyDescent="0.25">
      <c r="A44" s="24" t="str">
        <f>IF(D44="","",COUNTA(D$7:D44))</f>
        <v/>
      </c>
      <c r="B44" s="25"/>
      <c r="C44" s="26"/>
      <c r="D44" s="26"/>
      <c r="E44" s="26"/>
      <c r="F44" s="26"/>
      <c r="G44" s="27"/>
      <c r="H44" s="27"/>
      <c r="I44" s="27"/>
      <c r="J44" s="28" t="str">
        <f t="shared" si="1"/>
        <v/>
      </c>
      <c r="K44" s="29"/>
    </row>
    <row r="45" spans="1:11" ht="21.95" customHeight="1" x14ac:dyDescent="0.25">
      <c r="A45" s="24" t="str">
        <f>IF(D45="","",COUNTA(D$7:D45))</f>
        <v/>
      </c>
      <c r="B45" s="25"/>
      <c r="C45" s="26"/>
      <c r="D45" s="26"/>
      <c r="E45" s="26"/>
      <c r="F45" s="26"/>
      <c r="G45" s="27"/>
      <c r="H45" s="27"/>
      <c r="I45" s="27"/>
      <c r="J45" s="28" t="str">
        <f t="shared" si="1"/>
        <v/>
      </c>
      <c r="K45" s="29"/>
    </row>
    <row r="46" spans="1:11" ht="21.95" customHeight="1" x14ac:dyDescent="0.25">
      <c r="A46" s="24" t="str">
        <f>IF(D46="","",COUNTA(D$7:D46))</f>
        <v/>
      </c>
      <c r="B46" s="25"/>
      <c r="C46" s="26"/>
      <c r="D46" s="26"/>
      <c r="E46" s="26"/>
      <c r="F46" s="26"/>
      <c r="G46" s="27"/>
      <c r="H46" s="27"/>
      <c r="I46" s="27"/>
      <c r="J46" s="28" t="str">
        <f t="shared" si="1"/>
        <v/>
      </c>
      <c r="K46" s="29"/>
    </row>
    <row r="47" spans="1:11" ht="21.95" customHeight="1" x14ac:dyDescent="0.25">
      <c r="A47" s="24" t="str">
        <f>IF(D47="","",COUNTA(D$7:D47))</f>
        <v/>
      </c>
      <c r="B47" s="25"/>
      <c r="C47" s="26"/>
      <c r="D47" s="26"/>
      <c r="E47" s="26"/>
      <c r="F47" s="26"/>
      <c r="G47" s="27"/>
      <c r="H47" s="27"/>
      <c r="I47" s="27"/>
      <c r="J47" s="28" t="str">
        <f t="shared" si="1"/>
        <v/>
      </c>
      <c r="K47" s="29"/>
    </row>
    <row r="48" spans="1:11" ht="21.95" customHeight="1" x14ac:dyDescent="0.25">
      <c r="A48" s="24" t="str">
        <f>IF(D48="","",COUNTA(D$7:D48))</f>
        <v/>
      </c>
      <c r="B48" s="25"/>
      <c r="C48" s="26"/>
      <c r="D48" s="26"/>
      <c r="E48" s="26"/>
      <c r="F48" s="26"/>
      <c r="G48" s="27"/>
      <c r="H48" s="27"/>
      <c r="I48" s="27"/>
      <c r="J48" s="28" t="str">
        <f t="shared" si="1"/>
        <v/>
      </c>
      <c r="K48" s="29"/>
    </row>
    <row r="49" spans="1:11" ht="21.95" customHeight="1" x14ac:dyDescent="0.25">
      <c r="A49" s="24" t="str">
        <f>IF(D49="","",COUNTA(D$7:D49))</f>
        <v/>
      </c>
      <c r="B49" s="25"/>
      <c r="C49" s="26"/>
      <c r="D49" s="26"/>
      <c r="E49" s="26"/>
      <c r="F49" s="26"/>
      <c r="G49" s="27"/>
      <c r="H49" s="27"/>
      <c r="I49" s="27"/>
      <c r="J49" s="28" t="str">
        <f t="shared" si="1"/>
        <v/>
      </c>
      <c r="K49" s="29"/>
    </row>
    <row r="50" spans="1:11" ht="21.95" customHeight="1" x14ac:dyDescent="0.25">
      <c r="A50" s="24" t="str">
        <f>IF(D50="","",COUNTA(D$7:D50))</f>
        <v/>
      </c>
      <c r="B50" s="25"/>
      <c r="C50" s="26"/>
      <c r="D50" s="26"/>
      <c r="E50" s="26"/>
      <c r="F50" s="26"/>
      <c r="G50" s="27"/>
      <c r="H50" s="27"/>
      <c r="I50" s="27"/>
      <c r="J50" s="28" t="str">
        <f t="shared" si="1"/>
        <v/>
      </c>
      <c r="K50" s="29"/>
    </row>
    <row r="51" spans="1:11" ht="21.95" customHeight="1" x14ac:dyDescent="0.25">
      <c r="A51" s="24" t="str">
        <f>IF(D51="","",COUNTA(D$7:D51))</f>
        <v/>
      </c>
      <c r="B51" s="25"/>
      <c r="C51" s="26"/>
      <c r="D51" s="26"/>
      <c r="E51" s="26"/>
      <c r="F51" s="26"/>
      <c r="G51" s="27"/>
      <c r="H51" s="27"/>
      <c r="I51" s="27"/>
      <c r="J51" s="28" t="str">
        <f t="shared" si="1"/>
        <v/>
      </c>
      <c r="K51" s="29"/>
    </row>
    <row r="52" spans="1:11" ht="21.95" customHeight="1" x14ac:dyDescent="0.25">
      <c r="A52" s="24" t="str">
        <f>IF(D52="","",COUNTA(D$7:D52))</f>
        <v/>
      </c>
      <c r="B52" s="25"/>
      <c r="C52" s="26"/>
      <c r="D52" s="26"/>
      <c r="E52" s="26"/>
      <c r="F52" s="26"/>
      <c r="G52" s="27"/>
      <c r="H52" s="27"/>
      <c r="I52" s="27"/>
      <c r="J52" s="28" t="str">
        <f t="shared" si="1"/>
        <v/>
      </c>
      <c r="K52" s="29"/>
    </row>
    <row r="53" spans="1:11" ht="21.95" customHeight="1" x14ac:dyDescent="0.25">
      <c r="A53" s="24" t="str">
        <f>IF(D53="","",COUNTA(D$7:D53))</f>
        <v/>
      </c>
      <c r="B53" s="25"/>
      <c r="C53" s="26"/>
      <c r="D53" s="26"/>
      <c r="E53" s="26"/>
      <c r="F53" s="26"/>
      <c r="G53" s="27"/>
      <c r="H53" s="27"/>
      <c r="I53" s="27"/>
      <c r="J53" s="28" t="str">
        <f t="shared" si="1"/>
        <v/>
      </c>
      <c r="K53" s="29"/>
    </row>
    <row r="54" spans="1:11" ht="21.95" customHeight="1" x14ac:dyDescent="0.25">
      <c r="A54" s="24" t="str">
        <f>IF(D54="","",COUNTA(D$7:D54))</f>
        <v/>
      </c>
      <c r="B54" s="25"/>
      <c r="C54" s="26"/>
      <c r="D54" s="26"/>
      <c r="E54" s="26"/>
      <c r="F54" s="26"/>
      <c r="G54" s="27"/>
      <c r="H54" s="27"/>
      <c r="I54" s="27"/>
      <c r="J54" s="28" t="str">
        <f t="shared" si="1"/>
        <v/>
      </c>
      <c r="K54" s="29"/>
    </row>
    <row r="55" spans="1:11" ht="21.95" customHeight="1" x14ac:dyDescent="0.25">
      <c r="A55" s="24" t="str">
        <f>IF(D55="","",COUNTA(D$7:D55))</f>
        <v/>
      </c>
      <c r="B55" s="25"/>
      <c r="C55" s="26"/>
      <c r="D55" s="26"/>
      <c r="E55" s="26"/>
      <c r="F55" s="26"/>
      <c r="G55" s="27"/>
      <c r="H55" s="27"/>
      <c r="I55" s="27"/>
      <c r="J55" s="28" t="str">
        <f t="shared" si="1"/>
        <v/>
      </c>
      <c r="K55" s="29"/>
    </row>
    <row r="56" spans="1:11" ht="21.95" customHeight="1" x14ac:dyDescent="0.25">
      <c r="A56" s="24" t="str">
        <f>IF(D56="","",COUNTA(D$7:D56))</f>
        <v/>
      </c>
      <c r="B56" s="25"/>
      <c r="C56" s="26"/>
      <c r="D56" s="26"/>
      <c r="E56" s="26"/>
      <c r="F56" s="26"/>
      <c r="G56" s="27"/>
      <c r="H56" s="27"/>
      <c r="I56" s="27"/>
      <c r="J56" s="28" t="str">
        <f t="shared" si="1"/>
        <v/>
      </c>
      <c r="K56" s="29"/>
    </row>
    <row r="57" spans="1:11" ht="21.95" customHeight="1" x14ac:dyDescent="0.25">
      <c r="A57" s="24" t="str">
        <f>IF(D57="","",COUNTA(D$7:D57))</f>
        <v/>
      </c>
      <c r="B57" s="25"/>
      <c r="C57" s="26"/>
      <c r="D57" s="26"/>
      <c r="E57" s="26"/>
      <c r="F57" s="26"/>
      <c r="G57" s="27"/>
      <c r="H57" s="27"/>
      <c r="I57" s="27"/>
      <c r="J57" s="28" t="str">
        <f t="shared" si="1"/>
        <v/>
      </c>
      <c r="K57" s="29"/>
    </row>
    <row r="58" spans="1:11" ht="21.95" customHeight="1" x14ac:dyDescent="0.25">
      <c r="A58" s="24" t="str">
        <f>IF(D58="","",COUNTA(D$7:D58))</f>
        <v/>
      </c>
      <c r="B58" s="25"/>
      <c r="C58" s="26"/>
      <c r="D58" s="26"/>
      <c r="E58" s="26"/>
      <c r="F58" s="26"/>
      <c r="G58" s="27"/>
      <c r="H58" s="27"/>
      <c r="I58" s="27"/>
      <c r="J58" s="28" t="str">
        <f t="shared" si="1"/>
        <v/>
      </c>
      <c r="K58" s="29"/>
    </row>
    <row r="59" spans="1:11" ht="21.95" customHeight="1" x14ac:dyDescent="0.25">
      <c r="A59" s="24" t="str">
        <f>IF(D59="","",COUNTA(D$7:D59))</f>
        <v/>
      </c>
      <c r="B59" s="25"/>
      <c r="C59" s="26"/>
      <c r="D59" s="26"/>
      <c r="E59" s="26"/>
      <c r="F59" s="26"/>
      <c r="G59" s="27"/>
      <c r="H59" s="27"/>
      <c r="I59" s="27"/>
      <c r="J59" s="28" t="str">
        <f t="shared" si="1"/>
        <v/>
      </c>
      <c r="K59" s="29"/>
    </row>
    <row r="60" spans="1:11" ht="21.95" customHeight="1" x14ac:dyDescent="0.25">
      <c r="A60" s="24" t="str">
        <f>IF(D60="","",COUNTA(D$7:D60))</f>
        <v/>
      </c>
      <c r="B60" s="25"/>
      <c r="C60" s="26"/>
      <c r="D60" s="26"/>
      <c r="E60" s="26"/>
      <c r="F60" s="26"/>
      <c r="G60" s="27"/>
      <c r="H60" s="27"/>
      <c r="I60" s="27"/>
      <c r="J60" s="28" t="str">
        <f t="shared" si="1"/>
        <v/>
      </c>
      <c r="K60" s="29"/>
    </row>
    <row r="61" spans="1:11" ht="21.95" customHeight="1" x14ac:dyDescent="0.25">
      <c r="A61" s="24" t="str">
        <f>IF(D61="","",COUNTA(D$7:D61))</f>
        <v/>
      </c>
      <c r="B61" s="25"/>
      <c r="C61" s="26"/>
      <c r="D61" s="26"/>
      <c r="E61" s="26"/>
      <c r="F61" s="26"/>
      <c r="G61" s="27"/>
      <c r="H61" s="27"/>
      <c r="I61" s="27"/>
      <c r="J61" s="28" t="str">
        <f t="shared" si="1"/>
        <v/>
      </c>
      <c r="K61" s="29"/>
    </row>
    <row r="62" spans="1:11" ht="21.95" customHeight="1" x14ac:dyDescent="0.25">
      <c r="A62" s="24" t="str">
        <f>IF(D62="","",COUNTA(D$7:D62))</f>
        <v/>
      </c>
      <c r="B62" s="25"/>
      <c r="C62" s="26"/>
      <c r="D62" s="26"/>
      <c r="E62" s="26"/>
      <c r="F62" s="26"/>
      <c r="G62" s="27"/>
      <c r="H62" s="27"/>
      <c r="I62" s="27"/>
      <c r="J62" s="28" t="str">
        <f t="shared" si="1"/>
        <v/>
      </c>
      <c r="K62" s="29"/>
    </row>
    <row r="63" spans="1:11" ht="21.95" customHeight="1" x14ac:dyDescent="0.25">
      <c r="A63" s="24" t="str">
        <f>IF(D63="","",COUNTA(D$7:D63))</f>
        <v/>
      </c>
      <c r="B63" s="25"/>
      <c r="C63" s="26"/>
      <c r="D63" s="26"/>
      <c r="E63" s="26"/>
      <c r="F63" s="26"/>
      <c r="G63" s="27"/>
      <c r="H63" s="27"/>
      <c r="I63" s="27"/>
      <c r="J63" s="28" t="str">
        <f t="shared" si="1"/>
        <v/>
      </c>
      <c r="K63" s="29"/>
    </row>
    <row r="64" spans="1:11" ht="21.95" customHeight="1" x14ac:dyDescent="0.25">
      <c r="A64" s="24" t="str">
        <f>IF(D64="","",COUNTA(D$7:D64))</f>
        <v/>
      </c>
      <c r="B64" s="25"/>
      <c r="C64" s="26"/>
      <c r="D64" s="26"/>
      <c r="E64" s="26"/>
      <c r="F64" s="26"/>
      <c r="G64" s="27"/>
      <c r="H64" s="27"/>
      <c r="I64" s="27"/>
      <c r="J64" s="28" t="str">
        <f t="shared" si="1"/>
        <v/>
      </c>
      <c r="K64" s="29"/>
    </row>
    <row r="65" spans="1:11" ht="21.95" customHeight="1" x14ac:dyDescent="0.25">
      <c r="A65" s="24" t="str">
        <f>IF(D65="","",COUNTA(D$7:D65))</f>
        <v/>
      </c>
      <c r="B65" s="25"/>
      <c r="C65" s="26"/>
      <c r="D65" s="26"/>
      <c r="E65" s="26"/>
      <c r="F65" s="26"/>
      <c r="G65" s="27"/>
      <c r="H65" s="27"/>
      <c r="I65" s="27"/>
      <c r="J65" s="28" t="str">
        <f t="shared" si="1"/>
        <v/>
      </c>
      <c r="K65" s="29"/>
    </row>
    <row r="66" spans="1:11" ht="21.95" customHeight="1" x14ac:dyDescent="0.25">
      <c r="A66" s="24" t="str">
        <f>IF(D66="","",COUNTA(D$7:D66))</f>
        <v/>
      </c>
      <c r="B66" s="25"/>
      <c r="C66" s="26"/>
      <c r="D66" s="26"/>
      <c r="E66" s="26"/>
      <c r="F66" s="26"/>
      <c r="G66" s="27"/>
      <c r="H66" s="27"/>
      <c r="I66" s="27"/>
      <c r="J66" s="28" t="str">
        <f t="shared" si="1"/>
        <v/>
      </c>
      <c r="K66" s="29"/>
    </row>
    <row r="67" spans="1:11" ht="21.95" customHeight="1" x14ac:dyDescent="0.25">
      <c r="A67" s="24" t="str">
        <f>IF(D67="","",COUNTA(D$7:D67))</f>
        <v/>
      </c>
      <c r="B67" s="25"/>
      <c r="C67" s="26"/>
      <c r="D67" s="26"/>
      <c r="E67" s="26"/>
      <c r="F67" s="26"/>
      <c r="G67" s="27"/>
      <c r="H67" s="27"/>
      <c r="I67" s="27"/>
      <c r="J67" s="28" t="str">
        <f t="shared" si="1"/>
        <v/>
      </c>
      <c r="K67" s="29"/>
    </row>
    <row r="68" spans="1:11" ht="21.95" customHeight="1" x14ac:dyDescent="0.25">
      <c r="A68" s="24" t="str">
        <f>IF(D68="","",COUNTA(D$7:D68))</f>
        <v/>
      </c>
      <c r="B68" s="25"/>
      <c r="C68" s="26"/>
      <c r="D68" s="26"/>
      <c r="E68" s="26"/>
      <c r="F68" s="26"/>
      <c r="G68" s="27"/>
      <c r="H68" s="27"/>
      <c r="I68" s="27"/>
      <c r="J68" s="28" t="str">
        <f t="shared" si="1"/>
        <v/>
      </c>
      <c r="K68" s="29"/>
    </row>
    <row r="69" spans="1:11" ht="21.95" customHeight="1" x14ac:dyDescent="0.25">
      <c r="A69" s="24" t="str">
        <f>IF(D69="","",COUNTA(D$7:D69))</f>
        <v/>
      </c>
      <c r="B69" s="25"/>
      <c r="C69" s="26"/>
      <c r="D69" s="26"/>
      <c r="E69" s="26"/>
      <c r="F69" s="26"/>
      <c r="G69" s="27"/>
      <c r="H69" s="27"/>
      <c r="I69" s="27"/>
      <c r="J69" s="28" t="str">
        <f t="shared" si="1"/>
        <v/>
      </c>
      <c r="K69" s="29"/>
    </row>
    <row r="70" spans="1:11" ht="21.95" customHeight="1" x14ac:dyDescent="0.25">
      <c r="A70" s="24" t="str">
        <f>IF(D70="","",COUNTA(D$7:D70))</f>
        <v/>
      </c>
      <c r="B70" s="25"/>
      <c r="C70" s="26"/>
      <c r="D70" s="26"/>
      <c r="E70" s="26"/>
      <c r="F70" s="26"/>
      <c r="G70" s="27"/>
      <c r="H70" s="27"/>
      <c r="I70" s="27"/>
      <c r="J70" s="28" t="str">
        <f t="shared" si="1"/>
        <v/>
      </c>
      <c r="K70" s="29"/>
    </row>
    <row r="71" spans="1:11" ht="21.95" customHeight="1" x14ac:dyDescent="0.25">
      <c r="A71" s="24" t="str">
        <f>IF(D71="","",COUNTA(D$7:D71))</f>
        <v/>
      </c>
      <c r="B71" s="25"/>
      <c r="C71" s="26"/>
      <c r="D71" s="26"/>
      <c r="E71" s="26"/>
      <c r="F71" s="26"/>
      <c r="G71" s="27"/>
      <c r="H71" s="27"/>
      <c r="I71" s="27"/>
      <c r="J71" s="28" t="str">
        <f t="shared" ref="J71:J86" si="2">IF(AND(ISNUMBER(H71),ISNUMBER(I71),H71&lt;&gt;0),I71/H71,"")</f>
        <v/>
      </c>
      <c r="K71" s="29"/>
    </row>
    <row r="72" spans="1:11" ht="21.95" customHeight="1" x14ac:dyDescent="0.25">
      <c r="A72" s="24" t="str">
        <f>IF(D72="","",COUNTA(D$7:D72))</f>
        <v/>
      </c>
      <c r="B72" s="25"/>
      <c r="C72" s="26"/>
      <c r="D72" s="26"/>
      <c r="E72" s="26"/>
      <c r="F72" s="26"/>
      <c r="G72" s="27"/>
      <c r="H72" s="27"/>
      <c r="I72" s="27"/>
      <c r="J72" s="28" t="str">
        <f t="shared" si="2"/>
        <v/>
      </c>
      <c r="K72" s="29"/>
    </row>
    <row r="73" spans="1:11" ht="21.95" customHeight="1" x14ac:dyDescent="0.25">
      <c r="A73" s="24" t="str">
        <f>IF(D73="","",COUNTA(D$7:D73))</f>
        <v/>
      </c>
      <c r="B73" s="25"/>
      <c r="C73" s="26"/>
      <c r="D73" s="26"/>
      <c r="E73" s="26"/>
      <c r="F73" s="26"/>
      <c r="G73" s="27"/>
      <c r="H73" s="27"/>
      <c r="I73" s="27"/>
      <c r="J73" s="28" t="str">
        <f t="shared" si="2"/>
        <v/>
      </c>
      <c r="K73" s="29"/>
    </row>
    <row r="74" spans="1:11" ht="21.95" customHeight="1" x14ac:dyDescent="0.25">
      <c r="A74" s="24" t="str">
        <f>IF(D74="","",COUNTA(D$7:D74))</f>
        <v/>
      </c>
      <c r="B74" s="25"/>
      <c r="C74" s="26"/>
      <c r="D74" s="26"/>
      <c r="E74" s="26"/>
      <c r="F74" s="26"/>
      <c r="G74" s="27"/>
      <c r="H74" s="27"/>
      <c r="I74" s="27"/>
      <c r="J74" s="28" t="str">
        <f t="shared" si="2"/>
        <v/>
      </c>
      <c r="K74" s="29"/>
    </row>
    <row r="75" spans="1:11" ht="21.95" customHeight="1" x14ac:dyDescent="0.25">
      <c r="A75" s="24" t="str">
        <f>IF(D75="","",COUNTA(D$7:D75))</f>
        <v/>
      </c>
      <c r="B75" s="25"/>
      <c r="C75" s="26"/>
      <c r="D75" s="26"/>
      <c r="E75" s="26"/>
      <c r="F75" s="26"/>
      <c r="G75" s="27"/>
      <c r="H75" s="27"/>
      <c r="I75" s="27"/>
      <c r="J75" s="28" t="str">
        <f t="shared" si="2"/>
        <v/>
      </c>
      <c r="K75" s="29"/>
    </row>
    <row r="76" spans="1:11" ht="21.95" customHeight="1" x14ac:dyDescent="0.25">
      <c r="A76" s="24" t="str">
        <f>IF(D76="","",COUNTA(D$7:D76))</f>
        <v/>
      </c>
      <c r="B76" s="25"/>
      <c r="C76" s="26"/>
      <c r="D76" s="26"/>
      <c r="E76" s="26"/>
      <c r="F76" s="26"/>
      <c r="G76" s="27"/>
      <c r="H76" s="27"/>
      <c r="I76" s="27"/>
      <c r="J76" s="28" t="str">
        <f t="shared" si="2"/>
        <v/>
      </c>
      <c r="K76" s="29"/>
    </row>
    <row r="77" spans="1:11" ht="21.95" customHeight="1" x14ac:dyDescent="0.25">
      <c r="A77" s="24" t="str">
        <f>IF(D77="","",COUNTA(D$7:D77))</f>
        <v/>
      </c>
      <c r="B77" s="25"/>
      <c r="C77" s="26"/>
      <c r="D77" s="26"/>
      <c r="E77" s="26"/>
      <c r="F77" s="26"/>
      <c r="G77" s="27"/>
      <c r="H77" s="27"/>
      <c r="I77" s="27"/>
      <c r="J77" s="28" t="str">
        <f t="shared" si="2"/>
        <v/>
      </c>
      <c r="K77" s="29"/>
    </row>
    <row r="78" spans="1:11" ht="21.95" customHeight="1" x14ac:dyDescent="0.25">
      <c r="A78" s="24" t="str">
        <f>IF(D78="","",COUNTA(D$7:D78))</f>
        <v/>
      </c>
      <c r="B78" s="25"/>
      <c r="C78" s="26"/>
      <c r="D78" s="26"/>
      <c r="E78" s="26"/>
      <c r="F78" s="26"/>
      <c r="G78" s="27"/>
      <c r="H78" s="27"/>
      <c r="I78" s="27"/>
      <c r="J78" s="28" t="str">
        <f t="shared" si="2"/>
        <v/>
      </c>
      <c r="K78" s="29"/>
    </row>
    <row r="79" spans="1:11" ht="21.95" customHeight="1" x14ac:dyDescent="0.25">
      <c r="A79" s="24" t="str">
        <f>IF(D79="","",COUNTA(D$7:D79))</f>
        <v/>
      </c>
      <c r="B79" s="25"/>
      <c r="C79" s="26"/>
      <c r="D79" s="26"/>
      <c r="E79" s="26"/>
      <c r="F79" s="26"/>
      <c r="G79" s="27"/>
      <c r="H79" s="27"/>
      <c r="I79" s="27"/>
      <c r="J79" s="28" t="str">
        <f t="shared" si="2"/>
        <v/>
      </c>
      <c r="K79" s="29"/>
    </row>
    <row r="80" spans="1:11" ht="21.95" customHeight="1" x14ac:dyDescent="0.25">
      <c r="A80" s="24" t="str">
        <f>IF(D80="","",COUNTA(D$7:D80))</f>
        <v/>
      </c>
      <c r="B80" s="25"/>
      <c r="C80" s="26"/>
      <c r="D80" s="26"/>
      <c r="E80" s="26"/>
      <c r="F80" s="26"/>
      <c r="G80" s="27"/>
      <c r="H80" s="27"/>
      <c r="I80" s="27"/>
      <c r="J80" s="28" t="str">
        <f t="shared" si="2"/>
        <v/>
      </c>
      <c r="K80" s="29"/>
    </row>
    <row r="81" spans="1:11" ht="21.95" customHeight="1" x14ac:dyDescent="0.25">
      <c r="A81" s="24" t="str">
        <f>IF(D81="","",COUNTA(D$7:D81))</f>
        <v/>
      </c>
      <c r="B81" s="25"/>
      <c r="C81" s="26"/>
      <c r="D81" s="26"/>
      <c r="E81" s="26"/>
      <c r="F81" s="26"/>
      <c r="G81" s="27"/>
      <c r="H81" s="27"/>
      <c r="I81" s="27"/>
      <c r="J81" s="28" t="str">
        <f t="shared" si="2"/>
        <v/>
      </c>
      <c r="K81" s="29"/>
    </row>
    <row r="82" spans="1:11" ht="21.95" customHeight="1" x14ac:dyDescent="0.25">
      <c r="A82" s="24" t="str">
        <f>IF(D82="","",COUNTA(D$7:D82))</f>
        <v/>
      </c>
      <c r="B82" s="25"/>
      <c r="C82" s="26"/>
      <c r="D82" s="26"/>
      <c r="E82" s="26"/>
      <c r="F82" s="26"/>
      <c r="G82" s="27"/>
      <c r="H82" s="27"/>
      <c r="I82" s="27"/>
      <c r="J82" s="28" t="str">
        <f t="shared" si="2"/>
        <v/>
      </c>
      <c r="K82" s="29"/>
    </row>
    <row r="83" spans="1:11" ht="21.95" customHeight="1" x14ac:dyDescent="0.25">
      <c r="A83" s="24" t="str">
        <f>IF(D83="","",COUNTA(D$7:D83))</f>
        <v/>
      </c>
      <c r="B83" s="25"/>
      <c r="C83" s="26"/>
      <c r="D83" s="26"/>
      <c r="E83" s="26"/>
      <c r="F83" s="26"/>
      <c r="G83" s="27"/>
      <c r="H83" s="27"/>
      <c r="I83" s="27"/>
      <c r="J83" s="28" t="str">
        <f t="shared" si="2"/>
        <v/>
      </c>
      <c r="K83" s="29"/>
    </row>
    <row r="84" spans="1:11" ht="21.95" customHeight="1" x14ac:dyDescent="0.25">
      <c r="A84" s="24" t="str">
        <f>IF(D84="","",COUNTA(D$7:D84))</f>
        <v/>
      </c>
      <c r="B84" s="25"/>
      <c r="C84" s="26"/>
      <c r="D84" s="26"/>
      <c r="E84" s="26"/>
      <c r="F84" s="26"/>
      <c r="G84" s="27"/>
      <c r="H84" s="27"/>
      <c r="I84" s="27"/>
      <c r="J84" s="28" t="str">
        <f t="shared" si="2"/>
        <v/>
      </c>
      <c r="K84" s="29"/>
    </row>
    <row r="85" spans="1:11" ht="21.95" customHeight="1" x14ac:dyDescent="0.25">
      <c r="A85" s="24" t="str">
        <f>IF(D85="","",COUNTA(D$7:D85))</f>
        <v/>
      </c>
      <c r="B85" s="25"/>
      <c r="C85" s="26"/>
      <c r="D85" s="26"/>
      <c r="E85" s="26"/>
      <c r="F85" s="26"/>
      <c r="G85" s="27"/>
      <c r="H85" s="27"/>
      <c r="I85" s="27"/>
      <c r="J85" s="28" t="str">
        <f t="shared" si="2"/>
        <v/>
      </c>
      <c r="K85" s="29"/>
    </row>
    <row r="86" spans="1:11" ht="21.95" customHeight="1" x14ac:dyDescent="0.25">
      <c r="A86" s="24" t="str">
        <f>IF(D86="","",COUNTA(D$7:D86))</f>
        <v/>
      </c>
      <c r="B86" s="25"/>
      <c r="C86" s="26"/>
      <c r="D86" s="26"/>
      <c r="E86" s="26"/>
      <c r="F86" s="26"/>
      <c r="G86" s="27"/>
      <c r="H86" s="27"/>
      <c r="I86" s="27"/>
      <c r="J86" s="28" t="str">
        <f t="shared" si="2"/>
        <v/>
      </c>
      <c r="K86" s="29"/>
    </row>
    <row r="88" spans="1:11" ht="30" customHeight="1" x14ac:dyDescent="0.25">
      <c r="A88" s="82" t="s">
        <v>396</v>
      </c>
      <c r="B88" s="75"/>
      <c r="C88" s="75"/>
      <c r="D88" s="75"/>
      <c r="E88" s="75"/>
      <c r="F88" s="75"/>
      <c r="G88" s="75"/>
      <c r="H88" s="75"/>
      <c r="I88" s="75"/>
      <c r="J88" s="75"/>
      <c r="K88" s="76"/>
    </row>
    <row r="89" spans="1:11" ht="44.1" customHeight="1" x14ac:dyDescent="0.25">
      <c r="A89" s="79" t="s">
        <v>397</v>
      </c>
      <c r="B89" s="75"/>
      <c r="C89" s="75"/>
      <c r="D89" s="75"/>
      <c r="E89" s="75"/>
      <c r="F89" s="76"/>
      <c r="G89" s="23" t="s">
        <v>392</v>
      </c>
      <c r="H89" s="23" t="s">
        <v>393</v>
      </c>
      <c r="I89" s="23" t="s">
        <v>394</v>
      </c>
      <c r="J89" s="23" t="s">
        <v>33</v>
      </c>
      <c r="K89" s="23"/>
    </row>
    <row r="90" spans="1:11" ht="21" customHeight="1" x14ac:dyDescent="0.25">
      <c r="A90" s="77" t="s">
        <v>398</v>
      </c>
      <c r="B90" s="75"/>
      <c r="C90" s="75"/>
      <c r="D90" s="75"/>
      <c r="E90" s="75"/>
      <c r="F90" s="76"/>
      <c r="G90" s="31" t="str">
        <f>IF($G$3="","",SUMIFS(G7:G86,$B7:$B86,$G$3,$C7:$C86,Data!$AG$2))</f>
        <v/>
      </c>
      <c r="H90" s="31" t="str">
        <f>IF($G$3="","",SUMIFS(H7:H86,$B7:$B86,$G$3,$C7:$C86,Data!$AG$2))</f>
        <v/>
      </c>
      <c r="I90" s="31" t="str">
        <f>IF($G$3="","",SUMIFS(I7:I86,$B7:$B86,$G$3,$C7:$C86,Data!$AG$2))</f>
        <v/>
      </c>
      <c r="J90" s="32" t="str">
        <f t="shared" ref="J90:J97" si="3">IFERROR(IF(H90=0,"-",I90/H90),"-")</f>
        <v>-</v>
      </c>
      <c r="K90" s="30"/>
    </row>
    <row r="91" spans="1:11" ht="21" customHeight="1" x14ac:dyDescent="0.25">
      <c r="A91" s="77" t="s">
        <v>399</v>
      </c>
      <c r="B91" s="75"/>
      <c r="C91" s="75"/>
      <c r="D91" s="75"/>
      <c r="E91" s="75"/>
      <c r="F91" s="76"/>
      <c r="G91" s="31" t="str">
        <f>IF($G$3="","",SUMIFS(G7:G86,$B7:$B86,$G$3,$C7:$C86,Data!$AG$3))</f>
        <v/>
      </c>
      <c r="H91" s="31" t="str">
        <f>IF($G$3="","",SUMIFS(H7:H86,$B7:$B86,$G$3,$C7:$C86,Data!$AG$3))</f>
        <v/>
      </c>
      <c r="I91" s="31" t="str">
        <f>IF($G$3="","",SUMIFS(I7:I86,$B7:$B86,$G$3,$C7:$C86,Data!$AG$3))</f>
        <v/>
      </c>
      <c r="J91" s="32" t="str">
        <f t="shared" si="3"/>
        <v>-</v>
      </c>
      <c r="K91" s="30"/>
    </row>
    <row r="92" spans="1:11" ht="21" customHeight="1" x14ac:dyDescent="0.25">
      <c r="A92" s="77" t="s">
        <v>400</v>
      </c>
      <c r="B92" s="75"/>
      <c r="C92" s="75"/>
      <c r="D92" s="75"/>
      <c r="E92" s="75"/>
      <c r="F92" s="76"/>
      <c r="G92" s="31" t="str">
        <f>IF($G$3="","",SUMIFS(G7:G86,$B7:$B86,$G$3,$C7:$C86,Data!$AG$4))</f>
        <v/>
      </c>
      <c r="H92" s="31" t="str">
        <f>IF($G$3="","",SUMIFS(H7:H86,$B7:$B86,$G$3,$C7:$C86,Data!$AG$4))</f>
        <v/>
      </c>
      <c r="I92" s="31" t="str">
        <f>IF($G$3="","",SUMIFS(I7:I86,$B7:$B86,$G$3,$C7:$C86,Data!$AG$4))</f>
        <v/>
      </c>
      <c r="J92" s="32" t="str">
        <f t="shared" si="3"/>
        <v>-</v>
      </c>
      <c r="K92" s="30"/>
    </row>
    <row r="93" spans="1:11" ht="21" customHeight="1" x14ac:dyDescent="0.25">
      <c r="A93" s="84" t="s">
        <v>401</v>
      </c>
      <c r="B93" s="75"/>
      <c r="C93" s="75"/>
      <c r="D93" s="75"/>
      <c r="E93" s="75"/>
      <c r="F93" s="76"/>
      <c r="G93" s="34" t="str">
        <f>IF($G$3="","",SUMIFS(G7:G86,$B7:$B86,$G$3))</f>
        <v/>
      </c>
      <c r="H93" s="34" t="str">
        <f>IF($G$3="","",SUMIFS(H7:H86,$B7:$B86,$G$3))</f>
        <v/>
      </c>
      <c r="I93" s="34" t="str">
        <f>IF($G$3="","",SUMIFS(I7:I86,$B7:$B86,$G$3))</f>
        <v/>
      </c>
      <c r="J93" s="35" t="str">
        <f t="shared" si="3"/>
        <v>-</v>
      </c>
      <c r="K93" s="33"/>
    </row>
    <row r="94" spans="1:11" ht="21" customHeight="1" x14ac:dyDescent="0.25">
      <c r="A94" s="77" t="s">
        <v>402</v>
      </c>
      <c r="B94" s="75"/>
      <c r="C94" s="75"/>
      <c r="D94" s="75"/>
      <c r="E94" s="75"/>
      <c r="F94" s="76"/>
      <c r="G94" s="31">
        <f>SUMIFS(G7:G86,$C7:$C86,Data!$AG$2)</f>
        <v>0</v>
      </c>
      <c r="H94" s="31">
        <f>SUMIFS(H7:H86,$C7:$C86,Data!$AG$2)</f>
        <v>0</v>
      </c>
      <c r="I94" s="31">
        <f>SUMIFS(I7:I86,$C7:$C86,Data!$AG$2)</f>
        <v>0</v>
      </c>
      <c r="J94" s="32" t="str">
        <f t="shared" si="3"/>
        <v>-</v>
      </c>
      <c r="K94" s="30"/>
    </row>
    <row r="95" spans="1:11" ht="21" customHeight="1" x14ac:dyDescent="0.25">
      <c r="A95" s="77" t="s">
        <v>403</v>
      </c>
      <c r="B95" s="75"/>
      <c r="C95" s="75"/>
      <c r="D95" s="75"/>
      <c r="E95" s="75"/>
      <c r="F95" s="76"/>
      <c r="G95" s="31">
        <f>SUMIFS(G7:G86,$C7:$C86,Data!$AG$3)</f>
        <v>0</v>
      </c>
      <c r="H95" s="31">
        <f>SUMIFS(H7:H86,$C7:$C86,Data!$AG$3)</f>
        <v>0</v>
      </c>
      <c r="I95" s="31">
        <f>SUMIFS(I7:I86,$C7:$C86,Data!$AG$3)</f>
        <v>0</v>
      </c>
      <c r="J95" s="32" t="str">
        <f t="shared" si="3"/>
        <v>-</v>
      </c>
      <c r="K95" s="30"/>
    </row>
    <row r="96" spans="1:11" ht="21" customHeight="1" x14ac:dyDescent="0.25">
      <c r="A96" s="77" t="s">
        <v>404</v>
      </c>
      <c r="B96" s="75"/>
      <c r="C96" s="75"/>
      <c r="D96" s="75"/>
      <c r="E96" s="75"/>
      <c r="F96" s="76"/>
      <c r="G96" s="31">
        <f>SUMIFS(G7:G86,$C7:$C86,Data!$AG$4)</f>
        <v>0</v>
      </c>
      <c r="H96" s="31">
        <f>SUMIFS(H7:H86,$C7:$C86,Data!$AG$4)</f>
        <v>0</v>
      </c>
      <c r="I96" s="31">
        <f>SUMIFS(I7:I86,$C7:$C86,Data!$AG$4)</f>
        <v>0</v>
      </c>
      <c r="J96" s="32" t="str">
        <f t="shared" si="3"/>
        <v>-</v>
      </c>
      <c r="K96" s="30"/>
    </row>
    <row r="97" spans="1:11" ht="21" customHeight="1" x14ac:dyDescent="0.25">
      <c r="A97" s="80" t="s">
        <v>405</v>
      </c>
      <c r="B97" s="75"/>
      <c r="C97" s="75"/>
      <c r="D97" s="75"/>
      <c r="E97" s="75"/>
      <c r="F97" s="76"/>
      <c r="G97" s="37">
        <f>SUM(G7:G86)</f>
        <v>0</v>
      </c>
      <c r="H97" s="37">
        <f>SUM(H7:H86)</f>
        <v>0</v>
      </c>
      <c r="I97" s="37">
        <f>SUM(I7:I86)</f>
        <v>0</v>
      </c>
      <c r="J97" s="38" t="str">
        <f t="shared" si="3"/>
        <v>-</v>
      </c>
      <c r="K97" s="36"/>
    </row>
  </sheetData>
  <autoFilter ref="A6:K86" xr:uid="{00000000-0009-0000-0000-000003000000}"/>
  <mergeCells count="16">
    <mergeCell ref="A97:F97"/>
    <mergeCell ref="A3:C3"/>
    <mergeCell ref="A5:K5"/>
    <mergeCell ref="A92:F92"/>
    <mergeCell ref="A96:F96"/>
    <mergeCell ref="D3:E3"/>
    <mergeCell ref="A88:K88"/>
    <mergeCell ref="A90:F90"/>
    <mergeCell ref="A93:F93"/>
    <mergeCell ref="H3:K3"/>
    <mergeCell ref="A94:F94"/>
    <mergeCell ref="A1:K1"/>
    <mergeCell ref="A95:F95"/>
    <mergeCell ref="A2:K2"/>
    <mergeCell ref="A89:F89"/>
    <mergeCell ref="A91:F91"/>
  </mergeCells>
  <conditionalFormatting sqref="A7:K86">
    <cfRule type="expression" dxfId="0" priority="1">
      <formula>AND($G$3&lt;&gt;"",$B7=$G$3)</formula>
    </cfRule>
  </conditionalFormatting>
  <dataValidations count="2">
    <dataValidation type="list" allowBlank="1" showErrorMessage="1" errorTitle="قيمة غير صحيحة / Invalid value" error="اختر قيمة من القائمة / Choose a value from the list" sqref="B7:B86" xr:uid="{00000000-0002-0000-0300-000000000000}">
      <formula1>lst_Period</formula1>
    </dataValidation>
    <dataValidation type="list" allowBlank="1" showErrorMessage="1" errorTitle="قيمة غير صحيحة / Invalid value" error="اختر قيمة من القائمة / Choose a value from the list" sqref="C7:C86" xr:uid="{00000000-0002-0000-0300-000001000000}">
      <formula1>lst_ActType</formula1>
    </dataValidation>
  </dataValidations>
  <pageMargins left="0.75" right="0.75" top="1" bottom="1" header="0.5" footer="0.5"/>
  <pageSetup paperSize="9" fitToHeight="0" orientation="landscape"/>
  <extLst>
    <ext xmlns:x14="http://schemas.microsoft.com/office/spreadsheetml/2009/9/main" uri="{CCE6A557-97BC-4b89-ADB6-D9C93CAAB3DF}">
      <x14:dataValidations xmlns:xm="http://schemas.microsoft.com/office/excel/2006/main" count="1">
        <x14:dataValidation type="custom" allowBlank="1" showErrorMessage="1" errorTitle="كود غير موجود / Unknown code" error="اكتب كود مؤشر موجود في ورقة KPI Tracking (عمود الكود)._x000a_Enter a code that exists in the KPI Tracking sheet (Code column)." xr:uid="{00000000-0002-0000-0300-000002000000}">
          <x14:formula1>
            <xm:f>OR(K7="",COUNTIF('KPI Tracking'!$D:$D,K7)&gt;0)</xm:f>
          </x14:formula1>
          <xm:sqref>K7:K86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H62"/>
  <sheetViews>
    <sheetView showGridLines="0" rightToLeft="1" workbookViewId="0">
      <selection activeCell="A3" sqref="A3"/>
    </sheetView>
  </sheetViews>
  <sheetFormatPr defaultRowHeight="15" x14ac:dyDescent="0.25"/>
  <cols>
    <col min="1" max="1" width="4.28515625" customWidth="1"/>
    <col min="2" max="2" width="54.28515625" customWidth="1"/>
    <col min="3" max="3" width="16.7109375" customWidth="1"/>
    <col min="4" max="4" width="22.5703125" customWidth="1"/>
    <col min="5" max="5" width="17" customWidth="1"/>
    <col min="6" max="6" width="18.28515625" customWidth="1"/>
    <col min="7" max="7" width="16" customWidth="1"/>
    <col min="8" max="8" width="29.85546875" customWidth="1"/>
    <col min="9" max="9" width="13" customWidth="1"/>
  </cols>
  <sheetData>
    <row r="1" spans="1:8" ht="46.5" customHeight="1" x14ac:dyDescent="0.25">
      <c r="A1" s="114" t="s">
        <v>0</v>
      </c>
      <c r="B1" s="115"/>
      <c r="C1" s="115"/>
      <c r="D1" s="115"/>
      <c r="E1" s="115"/>
      <c r="F1" s="115"/>
      <c r="G1" s="115"/>
      <c r="H1" s="116"/>
    </row>
    <row r="2" spans="1:8" ht="35.25" customHeight="1" x14ac:dyDescent="0.25">
      <c r="A2" s="118" t="s">
        <v>525</v>
      </c>
      <c r="B2" s="119"/>
      <c r="C2" s="119"/>
      <c r="D2" s="119"/>
      <c r="E2" s="119"/>
      <c r="F2" s="119"/>
      <c r="G2" s="119"/>
      <c r="H2" s="120"/>
    </row>
    <row r="3" spans="1:8" ht="46.5" customHeight="1" x14ac:dyDescent="0.25">
      <c r="A3" s="39"/>
      <c r="B3" s="40" t="s">
        <v>406</v>
      </c>
      <c r="C3" s="41" t="s">
        <v>407</v>
      </c>
      <c r="D3" s="42" t="s">
        <v>408</v>
      </c>
      <c r="E3" s="42" t="s">
        <v>409</v>
      </c>
    </row>
    <row r="4" spans="1:8" ht="33.75" customHeight="1" x14ac:dyDescent="0.25">
      <c r="A4" s="39"/>
      <c r="B4" s="43" t="str">
        <f>IF('KPI Tracking'!F3="","",'KPI Tracking'!F3)</f>
        <v/>
      </c>
      <c r="C4" s="44" t="str">
        <f>IF('KPI Tracking'!P3="","",'KPI Tracking'!P3)</f>
        <v/>
      </c>
      <c r="D4" s="44"/>
      <c r="E4" s="45"/>
    </row>
    <row r="5" spans="1:8" ht="35.25" customHeight="1" x14ac:dyDescent="0.25">
      <c r="A5" s="124" t="s">
        <v>410</v>
      </c>
      <c r="B5" s="115"/>
      <c r="C5" s="115"/>
      <c r="D5" s="115"/>
      <c r="E5" s="115"/>
      <c r="F5" s="115"/>
      <c r="G5" s="115"/>
      <c r="H5" s="116"/>
    </row>
    <row r="6" spans="1:8" ht="25.5" customHeight="1" x14ac:dyDescent="0.25"/>
    <row r="7" spans="1:8" ht="35.25" customHeight="1" x14ac:dyDescent="0.25">
      <c r="A7" s="117" t="s">
        <v>411</v>
      </c>
      <c r="B7" s="115"/>
      <c r="C7" s="115"/>
      <c r="D7" s="115"/>
      <c r="E7" s="115"/>
      <c r="F7" s="115"/>
      <c r="G7" s="115"/>
      <c r="H7" s="116"/>
    </row>
    <row r="8" spans="1:8" ht="30.75" customHeight="1" x14ac:dyDescent="0.25">
      <c r="A8" s="40" t="s">
        <v>11</v>
      </c>
      <c r="B8" s="40" t="s">
        <v>412</v>
      </c>
      <c r="C8" s="40" t="s">
        <v>413</v>
      </c>
      <c r="D8" s="40" t="s">
        <v>414</v>
      </c>
      <c r="E8" s="40" t="s">
        <v>415</v>
      </c>
      <c r="F8" s="40" t="s">
        <v>416</v>
      </c>
      <c r="G8" s="40" t="s">
        <v>417</v>
      </c>
      <c r="H8" s="40"/>
    </row>
    <row r="9" spans="1:8" ht="20.25" customHeight="1" x14ac:dyDescent="0.25">
      <c r="A9" s="46">
        <v>1</v>
      </c>
      <c r="B9" s="47" t="s">
        <v>6</v>
      </c>
      <c r="C9" s="48">
        <f>N('KPI Tracking'!J36)/100</f>
        <v>0</v>
      </c>
      <c r="D9" s="49">
        <f>IFERROR(E9/C9,0)</f>
        <v>0</v>
      </c>
      <c r="E9" s="49">
        <f>N('KPI Tracking'!X36)/100</f>
        <v>0</v>
      </c>
      <c r="F9" s="50" t="str">
        <f>IF(AND(ISNUMBER(D9),C9&gt;0),LOOKUP(D9,Data!$AD$2:$AD$5,Data!$AE$2:$AE$5),"")</f>
        <v/>
      </c>
      <c r="G9" s="51"/>
      <c r="H9" s="52"/>
    </row>
    <row r="10" spans="1:8" ht="20.25" customHeight="1" x14ac:dyDescent="0.25">
      <c r="A10" s="46">
        <v>2</v>
      </c>
      <c r="B10" s="47" t="s">
        <v>418</v>
      </c>
      <c r="C10" s="48">
        <f>N('KPI Tracking'!J70)/100</f>
        <v>0</v>
      </c>
      <c r="D10" s="49">
        <f>IFERROR(E10/C10,0)</f>
        <v>0</v>
      </c>
      <c r="E10" s="49">
        <f>N('KPI Tracking'!X70)/100</f>
        <v>0</v>
      </c>
      <c r="F10" s="50" t="str">
        <f>IF(AND(ISNUMBER(D10),C10&gt;0),LOOKUP(D10,Data!$AD$2:$AD$5,Data!$AE$2:$AE$5),"")</f>
        <v/>
      </c>
      <c r="G10" s="51"/>
      <c r="H10" s="52"/>
    </row>
    <row r="11" spans="1:8" ht="20.25" customHeight="1" x14ac:dyDescent="0.25">
      <c r="A11" s="46">
        <v>3</v>
      </c>
      <c r="B11" s="47" t="s">
        <v>419</v>
      </c>
      <c r="C11" s="48">
        <f>N('KPI Tracking'!J104)/100</f>
        <v>0</v>
      </c>
      <c r="D11" s="49">
        <f>IFERROR(E11/C11,0)</f>
        <v>0</v>
      </c>
      <c r="E11" s="49">
        <f>N('KPI Tracking'!X104)/100</f>
        <v>0</v>
      </c>
      <c r="F11" s="50" t="str">
        <f>IF(AND(ISNUMBER(D11),C11&gt;0),LOOKUP(D11,Data!$AD$2:$AD$5,Data!$AE$2:$AE$5),"")</f>
        <v/>
      </c>
      <c r="G11" s="51"/>
      <c r="H11" s="52"/>
    </row>
    <row r="12" spans="1:8" ht="20.25" customHeight="1" x14ac:dyDescent="0.25">
      <c r="A12" s="46">
        <v>4</v>
      </c>
      <c r="B12" s="47" t="s">
        <v>38</v>
      </c>
      <c r="C12" s="48">
        <f>N('KPI Tracking'!J138)/100</f>
        <v>0</v>
      </c>
      <c r="D12" s="49">
        <f>IFERROR(E12/C12,0)</f>
        <v>0</v>
      </c>
      <c r="E12" s="49">
        <f>N('KPI Tracking'!X138)/100</f>
        <v>0</v>
      </c>
      <c r="F12" s="50" t="str">
        <f>IF(AND(ISNUMBER(D12),C12&gt;0),LOOKUP(D12,Data!$AD$2:$AD$5,Data!$AE$2:$AE$5),"")</f>
        <v/>
      </c>
      <c r="G12" s="51"/>
      <c r="H12" s="52"/>
    </row>
    <row r="13" spans="1:8" ht="20.25" customHeight="1" x14ac:dyDescent="0.25">
      <c r="A13" s="121" t="s">
        <v>420</v>
      </c>
      <c r="B13" s="116"/>
      <c r="C13" s="49">
        <f>IFERROR(SUM(C9:C12),0)</f>
        <v>0</v>
      </c>
      <c r="D13" s="49">
        <f>IFERROR(E13/C13,0)</f>
        <v>0</v>
      </c>
      <c r="E13" s="53">
        <f>IFERROR(SUM(E9:E12),0)</f>
        <v>0</v>
      </c>
      <c r="F13" s="50" t="str">
        <f>IF(AND(ISNUMBER(D13),C13&gt;0),LOOKUP(D13,Data!$AD$2:$AD$5,Data!$AE$2:$AE$5),"")</f>
        <v/>
      </c>
      <c r="G13" s="54"/>
      <c r="H13" s="54"/>
    </row>
    <row r="14" spans="1:8" ht="25.5" customHeight="1" x14ac:dyDescent="0.25"/>
    <row r="15" spans="1:8" ht="35.25" customHeight="1" x14ac:dyDescent="0.25">
      <c r="A15" s="117" t="s">
        <v>421</v>
      </c>
      <c r="B15" s="115"/>
      <c r="C15" s="115"/>
      <c r="D15" s="115"/>
      <c r="E15" s="115"/>
      <c r="F15" s="115"/>
      <c r="G15" s="115"/>
      <c r="H15" s="116"/>
    </row>
    <row r="16" spans="1:8" ht="30.75" customHeight="1" x14ac:dyDescent="0.25">
      <c r="A16" s="40" t="s">
        <v>11</v>
      </c>
      <c r="B16" s="40" t="s">
        <v>422</v>
      </c>
      <c r="C16" s="40" t="s">
        <v>423</v>
      </c>
      <c r="D16" s="40" t="s">
        <v>424</v>
      </c>
      <c r="E16" s="40" t="s">
        <v>425</v>
      </c>
      <c r="F16" s="40" t="s">
        <v>426</v>
      </c>
      <c r="G16" s="40" t="s">
        <v>427</v>
      </c>
      <c r="H16" s="40"/>
    </row>
    <row r="17" spans="1:8" ht="32.25" customHeight="1" x14ac:dyDescent="0.25">
      <c r="A17" s="46">
        <f t="shared" ref="A17:A22" si="0">ROW()-ROW($A$16)</f>
        <v>1</v>
      </c>
      <c r="B17" s="47" t="s">
        <v>428</v>
      </c>
      <c r="C17" s="73">
        <f>IF('KPI Tracking'!$P$3="",SUMIFS(الأنشطة!H7:H86,الأنشطة!C7:C86,Data!$AG$2),SUMPRODUCT((الأنشطة!B7:B86&lt;&gt;"")*(RIGHT(الأنشطة!B7:B86,1)&lt;=RIGHT('KPI Tracking'!$P$3,1))*(الأنشطة!C7:C86=Data!$AG$2)*الأنشطة!H7:H86))</f>
        <v>0</v>
      </c>
      <c r="D17" s="73">
        <f>IF('KPI Tracking'!$P$3="",SUMIFS(الأنشطة!I7:I86,الأنشطة!C7:C86,Data!$AG$2),SUMPRODUCT((الأنشطة!B7:B86&lt;&gt;"")*(RIGHT(الأنشطة!B7:B86,1)&lt;=RIGHT('KPI Tracking'!$P$3,1))*(الأنشطة!C7:C86=Data!$AG$2)*الأنشطة!I7:I86))</f>
        <v>0</v>
      </c>
      <c r="E17" s="49" t="str">
        <f t="shared" ref="E17:E22" si="1">IFERROR(D17/C17,"-")</f>
        <v>-</v>
      </c>
      <c r="F17" s="50" t="str">
        <f>IF(ISNUMBER(E17),LOOKUP(E17,Data!$AD$2:$AD$5,Data!$AE$2:$AE$5),"")</f>
        <v/>
      </c>
      <c r="G17" s="51"/>
      <c r="H17" s="52"/>
    </row>
    <row r="18" spans="1:8" ht="32.25" customHeight="1" x14ac:dyDescent="0.25">
      <c r="A18" s="46">
        <f t="shared" si="0"/>
        <v>2</v>
      </c>
      <c r="B18" s="47" t="s">
        <v>429</v>
      </c>
      <c r="C18" s="55"/>
      <c r="D18" s="73">
        <f>IF('KPI Tracking'!$P$3="",SUMIFS(الأنشطة!G7:G86,الأنشطة!C7:C86,Data!$AG$2),SUMPRODUCT((الأنشطة!B7:B86&lt;&gt;"")*(RIGHT(الأنشطة!B7:B86,1)&lt;=RIGHT('KPI Tracking'!$P$3,1))*(الأنشطة!C7:C86=Data!$AG$2)*الأنشطة!G7:G86))</f>
        <v>0</v>
      </c>
      <c r="E18" s="49" t="str">
        <f t="shared" si="1"/>
        <v>-</v>
      </c>
      <c r="F18" s="50" t="str">
        <f>IF(ISNUMBER(E18),LOOKUP(E18,Data!$AD$2:$AD$5,Data!$AE$2:$AE$5),"")</f>
        <v/>
      </c>
      <c r="G18" s="51"/>
      <c r="H18" s="52"/>
    </row>
    <row r="19" spans="1:8" ht="32.25" customHeight="1" x14ac:dyDescent="0.25">
      <c r="A19" s="46">
        <f t="shared" si="0"/>
        <v>3</v>
      </c>
      <c r="B19" s="47" t="s">
        <v>430</v>
      </c>
      <c r="C19" s="73">
        <f>IF('KPI Tracking'!$P$3="",SUMIFS(الأنشطة!H7:H86,الأنشطة!C7:C86,Data!$AG$3),SUMPRODUCT((الأنشطة!B7:B86&lt;&gt;"")*(RIGHT(الأنشطة!B7:B86,1)&lt;=RIGHT('KPI Tracking'!$P$3,1))*(الأنشطة!C7:C86=Data!$AG$3)*الأنشطة!H7:H86))</f>
        <v>0</v>
      </c>
      <c r="D19" s="73">
        <f>IF('KPI Tracking'!$P$3="",SUMIFS(الأنشطة!I7:I86,الأنشطة!C7:C86,Data!$AG$3),SUMPRODUCT((الأنشطة!B7:B86&lt;&gt;"")*(RIGHT(الأنشطة!B7:B86,1)&lt;=RIGHT('KPI Tracking'!$P$3,1))*(الأنشطة!C7:C86=Data!$AG$3)*الأنشطة!I7:I86))</f>
        <v>0</v>
      </c>
      <c r="E19" s="49" t="str">
        <f t="shared" si="1"/>
        <v>-</v>
      </c>
      <c r="F19" s="50" t="str">
        <f>IF(ISNUMBER(E19),LOOKUP(E19,Data!$AD$2:$AD$5,Data!$AE$2:$AE$5),"")</f>
        <v/>
      </c>
      <c r="G19" s="51"/>
      <c r="H19" s="52"/>
    </row>
    <row r="20" spans="1:8" ht="32.25" customHeight="1" x14ac:dyDescent="0.25">
      <c r="A20" s="46">
        <f t="shared" si="0"/>
        <v>4</v>
      </c>
      <c r="B20" s="56" t="s">
        <v>431</v>
      </c>
      <c r="C20" s="73">
        <f>IF('KPI Tracking'!$P$3="",SUMIFS(الأنشطة!H7:H86,الأنشطة!C7:C86,Data!$AG$4),SUMPRODUCT((الأنشطة!B7:B86&lt;&gt;"")*(RIGHT(الأنشطة!B7:B86,1)&lt;=RIGHT('KPI Tracking'!$P$3,1))*(الأنشطة!C7:C86=Data!$AG$4)*الأنشطة!H7:H86))</f>
        <v>0</v>
      </c>
      <c r="D20" s="73">
        <f>IF('KPI Tracking'!$P$3="",SUMIFS(الأنشطة!I7:I86,الأنشطة!C7:C86,Data!$AG$4),SUMPRODUCT((الأنشطة!B7:B86&lt;&gt;"")*(RIGHT(الأنشطة!B7:B86,1)&lt;=RIGHT('KPI Tracking'!$P$3,1))*(الأنشطة!C7:C86=Data!$AG$4)*الأنشطة!I7:I86))</f>
        <v>0</v>
      </c>
      <c r="E20" s="49" t="str">
        <f t="shared" si="1"/>
        <v>-</v>
      </c>
      <c r="F20" s="50" t="str">
        <f>IF(ISNUMBER(E20),LOOKUP(E20,Data!$AD$2:$AD$5,Data!$AE$2:$AE$5),"")</f>
        <v/>
      </c>
      <c r="G20" s="51"/>
      <c r="H20" s="52"/>
    </row>
    <row r="21" spans="1:8" ht="20.25" customHeight="1" x14ac:dyDescent="0.25">
      <c r="A21" s="46">
        <f t="shared" si="0"/>
        <v>5</v>
      </c>
      <c r="B21" s="47"/>
      <c r="C21" s="55"/>
      <c r="D21" s="55"/>
      <c r="E21" s="49" t="str">
        <f t="shared" si="1"/>
        <v>-</v>
      </c>
      <c r="F21" s="50" t="str">
        <f>IF(ISNUMBER(E21),LOOKUP(E21,Data!$AD$2:$AD$5,Data!$AE$2:$AE$5),"")</f>
        <v/>
      </c>
      <c r="G21" s="51"/>
      <c r="H21" s="52"/>
    </row>
    <row r="22" spans="1:8" ht="20.25" customHeight="1" x14ac:dyDescent="0.25">
      <c r="A22" s="46">
        <f t="shared" si="0"/>
        <v>6</v>
      </c>
      <c r="B22" s="47"/>
      <c r="C22" s="55"/>
      <c r="D22" s="55"/>
      <c r="E22" s="49" t="str">
        <f t="shared" si="1"/>
        <v>-</v>
      </c>
      <c r="F22" s="50" t="str">
        <f>IF(ISNUMBER(E22),LOOKUP(E22,Data!$AD$2:$AD$5,Data!$AE$2:$AE$5),"")</f>
        <v/>
      </c>
      <c r="G22" s="51"/>
      <c r="H22" s="52"/>
    </row>
    <row r="23" spans="1:8" ht="20.25" customHeight="1" x14ac:dyDescent="0.25">
      <c r="A23" s="57"/>
      <c r="B23" s="58"/>
      <c r="C23" s="59"/>
      <c r="D23" s="59"/>
      <c r="E23" s="59"/>
      <c r="F23" s="60"/>
      <c r="G23" s="60"/>
    </row>
    <row r="24" spans="1:8" ht="35.25" customHeight="1" x14ac:dyDescent="0.25">
      <c r="A24" s="117" t="s">
        <v>432</v>
      </c>
      <c r="B24" s="115"/>
      <c r="C24" s="115"/>
      <c r="D24" s="115"/>
      <c r="E24" s="115"/>
      <c r="F24" s="115"/>
      <c r="G24" s="115"/>
      <c r="H24" s="116"/>
    </row>
    <row r="25" spans="1:8" ht="34.5" customHeight="1" x14ac:dyDescent="0.25">
      <c r="A25" s="40" t="s">
        <v>11</v>
      </c>
      <c r="B25" s="40" t="s">
        <v>433</v>
      </c>
      <c r="C25" s="40" t="s">
        <v>434</v>
      </c>
      <c r="D25" s="40" t="s">
        <v>435</v>
      </c>
      <c r="E25" s="40" t="s">
        <v>436</v>
      </c>
      <c r="F25" s="40" t="s">
        <v>427</v>
      </c>
      <c r="G25" s="40"/>
      <c r="H25" s="40"/>
    </row>
    <row r="26" spans="1:8" ht="36" customHeight="1" x14ac:dyDescent="0.25">
      <c r="A26" s="46">
        <f t="shared" ref="A26:A31" si="2">ROW()-ROW($A$25)</f>
        <v>1</v>
      </c>
      <c r="B26" s="61" t="s">
        <v>437</v>
      </c>
      <c r="C26" s="55"/>
      <c r="D26" s="55"/>
      <c r="E26" s="49" t="str">
        <f t="shared" ref="E26:E31" si="3">IFERROR((D26-C26)/C26,"-")</f>
        <v>-</v>
      </c>
      <c r="F26" s="51"/>
      <c r="G26" s="51"/>
      <c r="H26" s="52"/>
    </row>
    <row r="27" spans="1:8" ht="36" customHeight="1" x14ac:dyDescent="0.25">
      <c r="A27" s="46">
        <f t="shared" si="2"/>
        <v>2</v>
      </c>
      <c r="B27" s="61" t="s">
        <v>438</v>
      </c>
      <c r="C27" s="55"/>
      <c r="D27" s="55"/>
      <c r="E27" s="49" t="str">
        <f t="shared" si="3"/>
        <v>-</v>
      </c>
      <c r="F27" s="51"/>
      <c r="G27" s="51"/>
      <c r="H27" s="52"/>
    </row>
    <row r="28" spans="1:8" ht="36" customHeight="1" x14ac:dyDescent="0.25">
      <c r="A28" s="46">
        <f t="shared" si="2"/>
        <v>3</v>
      </c>
      <c r="B28" s="61" t="s">
        <v>439</v>
      </c>
      <c r="C28" s="55"/>
      <c r="D28" s="55"/>
      <c r="E28" s="49" t="str">
        <f t="shared" si="3"/>
        <v>-</v>
      </c>
      <c r="F28" s="51"/>
      <c r="G28" s="51"/>
      <c r="H28" s="52"/>
    </row>
    <row r="29" spans="1:8" ht="36" customHeight="1" x14ac:dyDescent="0.25">
      <c r="A29" s="46">
        <f t="shared" si="2"/>
        <v>4</v>
      </c>
      <c r="B29" s="61" t="s">
        <v>440</v>
      </c>
      <c r="C29" s="55"/>
      <c r="D29" s="55"/>
      <c r="E29" s="49" t="str">
        <f t="shared" si="3"/>
        <v>-</v>
      </c>
      <c r="F29" s="51"/>
      <c r="G29" s="51"/>
      <c r="H29" s="52"/>
    </row>
    <row r="30" spans="1:8" ht="36" customHeight="1" x14ac:dyDescent="0.25">
      <c r="A30" s="46">
        <f t="shared" si="2"/>
        <v>5</v>
      </c>
      <c r="B30" s="47" t="s">
        <v>441</v>
      </c>
      <c r="C30" s="55"/>
      <c r="D30" s="55"/>
      <c r="E30" s="49" t="str">
        <f t="shared" si="3"/>
        <v>-</v>
      </c>
      <c r="F30" s="51"/>
      <c r="G30" s="51"/>
      <c r="H30" s="52"/>
    </row>
    <row r="31" spans="1:8" ht="20.25" customHeight="1" x14ac:dyDescent="0.25">
      <c r="A31" s="46">
        <f t="shared" si="2"/>
        <v>6</v>
      </c>
      <c r="B31" s="47"/>
      <c r="C31" s="55"/>
      <c r="D31" s="55"/>
      <c r="E31" s="49" t="str">
        <f t="shared" si="3"/>
        <v>-</v>
      </c>
      <c r="F31" s="51"/>
      <c r="G31" s="51"/>
      <c r="H31" s="52"/>
    </row>
    <row r="32" spans="1:8" ht="20.25" customHeight="1" x14ac:dyDescent="0.25">
      <c r="A32" s="57"/>
      <c r="B32" s="58"/>
      <c r="C32" s="59"/>
      <c r="D32" s="59"/>
      <c r="E32" s="59"/>
      <c r="F32" s="60"/>
      <c r="G32" s="60"/>
    </row>
    <row r="33" spans="1:8" ht="35.25" customHeight="1" x14ac:dyDescent="0.25">
      <c r="A33" s="117" t="s">
        <v>442</v>
      </c>
      <c r="B33" s="115"/>
      <c r="C33" s="115"/>
      <c r="D33" s="115"/>
      <c r="E33" s="115"/>
      <c r="F33" s="115"/>
      <c r="G33" s="115"/>
      <c r="H33" s="116"/>
    </row>
    <row r="34" spans="1:8" ht="31.5" customHeight="1" x14ac:dyDescent="0.25">
      <c r="A34" s="40" t="s">
        <v>11</v>
      </c>
      <c r="B34" s="40" t="s">
        <v>443</v>
      </c>
      <c r="C34" s="40" t="s">
        <v>444</v>
      </c>
      <c r="D34" s="40" t="s">
        <v>445</v>
      </c>
      <c r="E34" s="40" t="s">
        <v>446</v>
      </c>
      <c r="F34" s="40" t="s">
        <v>427</v>
      </c>
      <c r="G34" s="40"/>
      <c r="H34" s="40"/>
    </row>
    <row r="35" spans="1:8" ht="25.5" customHeight="1" x14ac:dyDescent="0.25">
      <c r="A35" s="46">
        <f t="shared" ref="A35:A42" si="4">ROW()-ROW($A$34)</f>
        <v>1</v>
      </c>
      <c r="B35" s="51"/>
      <c r="C35" s="51"/>
      <c r="D35" s="62"/>
      <c r="E35" s="63"/>
      <c r="F35" s="64"/>
      <c r="G35" s="52"/>
      <c r="H35" s="52"/>
    </row>
    <row r="36" spans="1:8" ht="25.5" customHeight="1" x14ac:dyDescent="0.25">
      <c r="A36" s="46">
        <f t="shared" si="4"/>
        <v>2</v>
      </c>
      <c r="B36" s="51"/>
      <c r="C36" s="51"/>
      <c r="D36" s="62"/>
      <c r="E36" s="63"/>
      <c r="F36" s="64"/>
      <c r="G36" s="52"/>
      <c r="H36" s="52"/>
    </row>
    <row r="37" spans="1:8" ht="25.5" customHeight="1" x14ac:dyDescent="0.25">
      <c r="A37" s="46">
        <f t="shared" si="4"/>
        <v>3</v>
      </c>
      <c r="B37" s="51"/>
      <c r="C37" s="51"/>
      <c r="D37" s="62"/>
      <c r="E37" s="63"/>
      <c r="F37" s="64"/>
      <c r="G37" s="52"/>
      <c r="H37" s="52"/>
    </row>
    <row r="38" spans="1:8" ht="25.5" customHeight="1" x14ac:dyDescent="0.25">
      <c r="A38" s="46">
        <f t="shared" si="4"/>
        <v>4</v>
      </c>
      <c r="B38" s="51"/>
      <c r="C38" s="51"/>
      <c r="D38" s="62"/>
      <c r="E38" s="63"/>
      <c r="F38" s="64"/>
      <c r="G38" s="52"/>
      <c r="H38" s="52"/>
    </row>
    <row r="39" spans="1:8" ht="25.5" customHeight="1" x14ac:dyDescent="0.25">
      <c r="A39" s="46">
        <f t="shared" si="4"/>
        <v>5</v>
      </c>
      <c r="B39" s="51"/>
      <c r="C39" s="51"/>
      <c r="D39" s="62"/>
      <c r="E39" s="63"/>
      <c r="F39" s="64"/>
      <c r="G39" s="52"/>
      <c r="H39" s="52"/>
    </row>
    <row r="40" spans="1:8" ht="25.5" customHeight="1" x14ac:dyDescent="0.25">
      <c r="A40" s="46">
        <f t="shared" si="4"/>
        <v>6</v>
      </c>
      <c r="B40" s="51"/>
      <c r="C40" s="51"/>
      <c r="D40" s="62"/>
      <c r="E40" s="63"/>
      <c r="F40" s="64"/>
      <c r="G40" s="52"/>
      <c r="H40" s="52"/>
    </row>
    <row r="41" spans="1:8" ht="25.5" customHeight="1" x14ac:dyDescent="0.25">
      <c r="A41" s="46">
        <f t="shared" si="4"/>
        <v>7</v>
      </c>
      <c r="B41" s="51"/>
      <c r="C41" s="51"/>
      <c r="D41" s="62"/>
      <c r="E41" s="63"/>
      <c r="F41" s="64"/>
      <c r="G41" s="52"/>
      <c r="H41" s="52"/>
    </row>
    <row r="42" spans="1:8" ht="25.5" customHeight="1" x14ac:dyDescent="0.25">
      <c r="A42" s="46">
        <f t="shared" si="4"/>
        <v>8</v>
      </c>
      <c r="B42" s="51"/>
      <c r="C42" s="51"/>
      <c r="D42" s="62"/>
      <c r="E42" s="63"/>
      <c r="F42" s="64"/>
      <c r="G42" s="52"/>
      <c r="H42" s="52"/>
    </row>
    <row r="43" spans="1:8" ht="25.5" customHeight="1" x14ac:dyDescent="0.25"/>
    <row r="44" spans="1:8" ht="36" customHeight="1" x14ac:dyDescent="0.25">
      <c r="A44" s="122" t="s">
        <v>447</v>
      </c>
      <c r="B44" s="123"/>
      <c r="C44" s="123"/>
      <c r="D44" s="123"/>
      <c r="E44" s="123"/>
      <c r="F44" s="123"/>
      <c r="G44" s="123"/>
      <c r="H44" s="123"/>
    </row>
    <row r="45" spans="1:8" ht="38.25" customHeight="1" x14ac:dyDescent="0.25">
      <c r="A45" s="40" t="s">
        <v>11</v>
      </c>
      <c r="B45" s="40" t="s">
        <v>448</v>
      </c>
      <c r="C45" s="40" t="s">
        <v>449</v>
      </c>
      <c r="D45" s="40" t="s">
        <v>450</v>
      </c>
      <c r="E45" s="40" t="s">
        <v>451</v>
      </c>
      <c r="F45" s="40" t="s">
        <v>452</v>
      </c>
      <c r="G45" s="40" t="s">
        <v>453</v>
      </c>
      <c r="H45" s="40" t="s">
        <v>454</v>
      </c>
    </row>
    <row r="46" spans="1:8" ht="25.5" customHeight="1" x14ac:dyDescent="0.25">
      <c r="A46" s="46">
        <f t="shared" ref="A46:A51" si="5">ROW()-ROW($A$45)</f>
        <v>1</v>
      </c>
      <c r="B46" s="51"/>
      <c r="C46" s="51"/>
      <c r="D46" s="62"/>
      <c r="E46" s="51"/>
      <c r="F46" s="51"/>
      <c r="G46" s="52"/>
      <c r="H46" s="52"/>
    </row>
    <row r="47" spans="1:8" ht="25.5" customHeight="1" x14ac:dyDescent="0.25">
      <c r="A47" s="46">
        <f t="shared" si="5"/>
        <v>2</v>
      </c>
      <c r="B47" s="51"/>
      <c r="C47" s="51"/>
      <c r="D47" s="62"/>
      <c r="E47" s="51"/>
      <c r="F47" s="51"/>
      <c r="G47" s="52"/>
      <c r="H47" s="52"/>
    </row>
    <row r="48" spans="1:8" ht="25.5" customHeight="1" x14ac:dyDescent="0.25">
      <c r="A48" s="46">
        <f t="shared" si="5"/>
        <v>3</v>
      </c>
      <c r="B48" s="51"/>
      <c r="C48" s="51"/>
      <c r="D48" s="62"/>
      <c r="E48" s="51"/>
      <c r="F48" s="51"/>
      <c r="G48" s="52"/>
      <c r="H48" s="52"/>
    </row>
    <row r="49" spans="1:8" ht="25.5" customHeight="1" x14ac:dyDescent="0.25">
      <c r="A49" s="46">
        <f t="shared" si="5"/>
        <v>4</v>
      </c>
      <c r="B49" s="51"/>
      <c r="C49" s="51"/>
      <c r="D49" s="62"/>
      <c r="E49" s="51"/>
      <c r="F49" s="51"/>
      <c r="G49" s="52"/>
      <c r="H49" s="52"/>
    </row>
    <row r="50" spans="1:8" ht="25.5" customHeight="1" x14ac:dyDescent="0.25">
      <c r="A50" s="46">
        <f t="shared" si="5"/>
        <v>5</v>
      </c>
      <c r="B50" s="51"/>
      <c r="C50" s="51"/>
      <c r="D50" s="62"/>
      <c r="E50" s="51"/>
      <c r="F50" s="51"/>
      <c r="G50" s="52"/>
      <c r="H50" s="52"/>
    </row>
    <row r="51" spans="1:8" ht="25.5" customHeight="1" x14ac:dyDescent="0.25">
      <c r="A51" s="46">
        <f t="shared" si="5"/>
        <v>6</v>
      </c>
      <c r="B51" s="51"/>
      <c r="C51" s="51"/>
      <c r="D51" s="62"/>
      <c r="E51" s="51"/>
      <c r="F51" s="51"/>
      <c r="G51" s="52"/>
      <c r="H51" s="52"/>
    </row>
    <row r="52" spans="1:8" ht="25.5" customHeight="1" x14ac:dyDescent="0.25"/>
    <row r="53" spans="1:8" ht="35.25" customHeight="1" x14ac:dyDescent="0.25">
      <c r="A53" s="117" t="s">
        <v>455</v>
      </c>
      <c r="B53" s="115"/>
      <c r="C53" s="115"/>
      <c r="D53" s="115"/>
      <c r="E53" s="115"/>
      <c r="F53" s="115"/>
      <c r="G53" s="115"/>
      <c r="H53" s="116"/>
    </row>
    <row r="54" spans="1:8" ht="59.25" customHeight="1" x14ac:dyDescent="0.25">
      <c r="A54" s="40" t="s">
        <v>11</v>
      </c>
      <c r="B54" s="40" t="s">
        <v>456</v>
      </c>
      <c r="C54" s="40" t="s">
        <v>457</v>
      </c>
      <c r="D54" s="40" t="s">
        <v>458</v>
      </c>
      <c r="E54" s="40" t="s">
        <v>459</v>
      </c>
      <c r="F54" s="40" t="s">
        <v>460</v>
      </c>
      <c r="G54" s="40" t="s">
        <v>461</v>
      </c>
      <c r="H54" s="40" t="s">
        <v>454</v>
      </c>
    </row>
    <row r="55" spans="1:8" ht="16.5" customHeight="1" x14ac:dyDescent="0.25">
      <c r="A55" s="46">
        <f t="shared" ref="A55:A62" si="6">ROW()-ROW($A$54)</f>
        <v>1</v>
      </c>
      <c r="B55" s="51"/>
      <c r="C55" s="51"/>
      <c r="D55" s="62"/>
      <c r="E55" s="51"/>
      <c r="F55" s="55"/>
      <c r="G55" s="51"/>
      <c r="H55" s="51"/>
    </row>
    <row r="56" spans="1:8" ht="16.5" customHeight="1" x14ac:dyDescent="0.25">
      <c r="A56" s="46">
        <f t="shared" si="6"/>
        <v>2</v>
      </c>
      <c r="B56" s="51"/>
      <c r="C56" s="51"/>
      <c r="D56" s="62"/>
      <c r="E56" s="51"/>
      <c r="F56" s="55"/>
      <c r="G56" s="51"/>
      <c r="H56" s="51"/>
    </row>
    <row r="57" spans="1:8" ht="16.5" customHeight="1" x14ac:dyDescent="0.25">
      <c r="A57" s="46">
        <f t="shared" si="6"/>
        <v>3</v>
      </c>
      <c r="B57" s="51"/>
      <c r="C57" s="51"/>
      <c r="D57" s="62"/>
      <c r="E57" s="51"/>
      <c r="F57" s="55"/>
      <c r="G57" s="51"/>
      <c r="H57" s="51"/>
    </row>
    <row r="58" spans="1:8" ht="16.5" customHeight="1" x14ac:dyDescent="0.25">
      <c r="A58" s="46">
        <f t="shared" si="6"/>
        <v>4</v>
      </c>
      <c r="B58" s="51"/>
      <c r="C58" s="51"/>
      <c r="D58" s="62"/>
      <c r="E58" s="51"/>
      <c r="F58" s="55"/>
      <c r="G58" s="51"/>
      <c r="H58" s="51"/>
    </row>
    <row r="59" spans="1:8" ht="16.5" customHeight="1" x14ac:dyDescent="0.25">
      <c r="A59" s="46">
        <f t="shared" si="6"/>
        <v>5</v>
      </c>
      <c r="B59" s="51"/>
      <c r="C59" s="51"/>
      <c r="D59" s="62"/>
      <c r="E59" s="51"/>
      <c r="F59" s="55"/>
      <c r="G59" s="51"/>
      <c r="H59" s="51"/>
    </row>
    <row r="60" spans="1:8" ht="16.5" customHeight="1" x14ac:dyDescent="0.25">
      <c r="A60" s="46">
        <f t="shared" si="6"/>
        <v>6</v>
      </c>
      <c r="B60" s="51"/>
      <c r="C60" s="51"/>
      <c r="D60" s="62"/>
      <c r="E60" s="51"/>
      <c r="F60" s="55"/>
      <c r="G60" s="51"/>
      <c r="H60" s="51"/>
    </row>
    <row r="61" spans="1:8" ht="16.5" customHeight="1" x14ac:dyDescent="0.25">
      <c r="A61" s="46">
        <f t="shared" si="6"/>
        <v>7</v>
      </c>
      <c r="B61" s="51"/>
      <c r="C61" s="51"/>
      <c r="D61" s="62"/>
      <c r="E61" s="51"/>
      <c r="F61" s="55"/>
      <c r="G61" s="51"/>
      <c r="H61" s="51"/>
    </row>
    <row r="62" spans="1:8" ht="16.5" customHeight="1" x14ac:dyDescent="0.25">
      <c r="A62" s="46">
        <f t="shared" si="6"/>
        <v>8</v>
      </c>
      <c r="B62" s="51"/>
      <c r="C62" s="51"/>
      <c r="D62" s="62"/>
      <c r="E62" s="51"/>
      <c r="F62" s="55"/>
      <c r="G62" s="51"/>
      <c r="H62" s="51"/>
    </row>
  </sheetData>
  <mergeCells count="10">
    <mergeCell ref="A1:H1"/>
    <mergeCell ref="A53:H53"/>
    <mergeCell ref="A15:H15"/>
    <mergeCell ref="A7:H7"/>
    <mergeCell ref="A24:H24"/>
    <mergeCell ref="A2:H2"/>
    <mergeCell ref="A13:B13"/>
    <mergeCell ref="A33:H33"/>
    <mergeCell ref="A44:H44"/>
    <mergeCell ref="A5:H5"/>
  </mergeCells>
  <dataValidations count="2">
    <dataValidation type="list" allowBlank="1" showErrorMessage="1" errorTitle="قيمة غير صحيحة / Invalid value" error="اختر قيمة من القائمة / Choose a value from the list" sqref="D35:D42 D55:D62 D46:D51" xr:uid="{00000000-0002-0000-0400-000001000000}">
      <formula1>lst_Impact</formula1>
    </dataValidation>
    <dataValidation type="list" allowBlank="1" showErrorMessage="1" errorTitle="قيمة غير صحيحة / Invalid value" error="اختر قيمة من القائمة / Choose a value from the list" sqref="E55:E62" xr:uid="{00000000-0002-0000-0400-000004000000}">
      <formula1>lst_Priority</formula1>
    </dataValidation>
  </dataValidations>
  <pageMargins left="0.75" right="0.75" top="1" bottom="1" header="0.5" footer="0.5"/>
  <pageSetup paperSize="9" fitToHeight="0" orientation="portrait"/>
  <extLst>
    <ext xmlns:x14="http://schemas.microsoft.com/office/spreadsheetml/2009/9/main" uri="{CCE6A557-97BC-4b89-ADB6-D9C93CAAB3DF}">
      <x14:dataValidations xmlns:xm="http://schemas.microsoft.com/office/excel/2006/main" count="1">
        <x14:dataValidation type="custom" allowBlank="1" showErrorMessage="1" errorTitle="كود غير موجود / Unknown code" error="اكتب كود مؤشر موجود في ورقة KPI Tracking (عمود الكود)._x000a_Enter a code that exists in the KPI Tracking sheet (Code column)." xr:uid="{00000000-0002-0000-0400-000000000000}">
          <x14:formula1>
            <xm:f>OR(E35="",COUNTIF('KPI Tracking'!$D:$D,E35)&gt;0)</xm:f>
          </x14:formula1>
          <xm:sqref>E35:E42</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G8"/>
  <sheetViews>
    <sheetView rightToLeft="1" zoomScaleNormal="100" workbookViewId="0"/>
  </sheetViews>
  <sheetFormatPr defaultColWidth="8.7109375" defaultRowHeight="15" x14ac:dyDescent="0.25"/>
  <cols>
    <col min="1" max="1" width="42" customWidth="1"/>
    <col min="2" max="2" width="10" customWidth="1"/>
    <col min="4" max="4" width="12" customWidth="1"/>
    <col min="6" max="6" width="32" customWidth="1"/>
    <col min="8" max="8" width="28" customWidth="1"/>
    <col min="10" max="10" width="20" customWidth="1"/>
    <col min="12" max="12" width="26" customWidth="1"/>
    <col min="14" max="14" width="22" customWidth="1"/>
    <col min="16" max="16" width="36" customWidth="1"/>
    <col min="18" max="18" width="34" customWidth="1"/>
    <col min="20" max="20" width="34" customWidth="1"/>
    <col min="22" max="22" width="34" customWidth="1"/>
    <col min="24" max="24" width="34" customWidth="1"/>
    <col min="26" max="26" width="26" customWidth="1"/>
    <col min="28" max="28" width="26" customWidth="1"/>
    <col min="30" max="31" width="26" customWidth="1"/>
    <col min="33" max="33" width="42" customWidth="1"/>
  </cols>
  <sheetData>
    <row r="1" spans="1:33" ht="36" customHeight="1" x14ac:dyDescent="0.25">
      <c r="A1" s="4" t="s">
        <v>3</v>
      </c>
      <c r="B1" s="4" t="s">
        <v>462</v>
      </c>
      <c r="D1" s="4" t="s">
        <v>5</v>
      </c>
      <c r="F1" s="4" t="s">
        <v>412</v>
      </c>
      <c r="H1" s="4" t="s">
        <v>463</v>
      </c>
      <c r="J1" s="4" t="s">
        <v>16</v>
      </c>
      <c r="L1" s="4" t="s">
        <v>17</v>
      </c>
      <c r="N1" s="4" t="s">
        <v>18</v>
      </c>
      <c r="P1" s="4" t="s">
        <v>19</v>
      </c>
      <c r="R1" s="4" t="s">
        <v>464</v>
      </c>
      <c r="T1" s="4" t="s">
        <v>465</v>
      </c>
      <c r="V1" s="4" t="s">
        <v>466</v>
      </c>
      <c r="X1" s="4" t="s">
        <v>467</v>
      </c>
      <c r="Z1" s="4" t="s">
        <v>468</v>
      </c>
      <c r="AB1" s="4" t="s">
        <v>469</v>
      </c>
      <c r="AD1" s="4" t="s">
        <v>470</v>
      </c>
      <c r="AE1" s="4" t="s">
        <v>416</v>
      </c>
      <c r="AG1" s="4" t="s">
        <v>471</v>
      </c>
    </row>
    <row r="2" spans="1:33" ht="16.5" customHeight="1" x14ac:dyDescent="0.25">
      <c r="A2" s="15" t="s">
        <v>472</v>
      </c>
      <c r="B2" s="16" t="s">
        <v>473</v>
      </c>
      <c r="D2" s="15" t="s">
        <v>474</v>
      </c>
      <c r="F2" s="15" t="s">
        <v>475</v>
      </c>
      <c r="H2" s="15" t="s">
        <v>476</v>
      </c>
      <c r="J2" s="15" t="s">
        <v>477</v>
      </c>
      <c r="L2" s="15" t="s">
        <v>478</v>
      </c>
      <c r="N2" s="15" t="s">
        <v>479</v>
      </c>
      <c r="P2" s="15" t="s">
        <v>480</v>
      </c>
      <c r="R2" s="15" t="s">
        <v>478</v>
      </c>
      <c r="T2" s="15" t="s">
        <v>481</v>
      </c>
      <c r="V2" s="15" t="s">
        <v>482</v>
      </c>
      <c r="X2" s="15" t="s">
        <v>483</v>
      </c>
      <c r="Z2" s="65" t="s">
        <v>484</v>
      </c>
      <c r="AB2" s="65" t="s">
        <v>485</v>
      </c>
      <c r="AD2" s="66">
        <v>0</v>
      </c>
      <c r="AE2" s="65" t="s">
        <v>486</v>
      </c>
      <c r="AG2" s="65" t="s">
        <v>487</v>
      </c>
    </row>
    <row r="3" spans="1:33" ht="33" customHeight="1" x14ac:dyDescent="0.25">
      <c r="A3" s="15" t="s">
        <v>488</v>
      </c>
      <c r="B3" s="16" t="s">
        <v>489</v>
      </c>
      <c r="D3" s="15" t="s">
        <v>490</v>
      </c>
      <c r="F3" s="15" t="s">
        <v>491</v>
      </c>
      <c r="H3" s="15" t="s">
        <v>492</v>
      </c>
      <c r="J3" s="15" t="s">
        <v>493</v>
      </c>
      <c r="L3" s="15" t="s">
        <v>481</v>
      </c>
      <c r="N3" s="15" t="s">
        <v>494</v>
      </c>
      <c r="P3" s="15" t="s">
        <v>495</v>
      </c>
      <c r="R3" s="15" t="s">
        <v>496</v>
      </c>
      <c r="X3" s="15" t="s">
        <v>497</v>
      </c>
      <c r="Z3" s="65" t="s">
        <v>498</v>
      </c>
      <c r="AB3" s="65" t="s">
        <v>499</v>
      </c>
      <c r="AD3" s="66">
        <v>0.6</v>
      </c>
      <c r="AE3" s="65" t="s">
        <v>500</v>
      </c>
      <c r="AG3" s="65" t="s">
        <v>501</v>
      </c>
    </row>
    <row r="4" spans="1:33" ht="33" customHeight="1" x14ac:dyDescent="0.25">
      <c r="A4" s="15" t="s">
        <v>502</v>
      </c>
      <c r="B4" s="16" t="s">
        <v>503</v>
      </c>
      <c r="D4" s="15" t="s">
        <v>504</v>
      </c>
      <c r="F4" s="15" t="s">
        <v>505</v>
      </c>
      <c r="H4" s="15" t="s">
        <v>506</v>
      </c>
      <c r="L4" s="15" t="s">
        <v>496</v>
      </c>
      <c r="P4" s="15" t="s">
        <v>483</v>
      </c>
      <c r="R4" s="15" t="s">
        <v>507</v>
      </c>
      <c r="X4" s="15" t="s">
        <v>508</v>
      </c>
      <c r="Z4" s="65" t="s">
        <v>509</v>
      </c>
      <c r="AB4" s="65" t="s">
        <v>510</v>
      </c>
      <c r="AD4" s="66">
        <v>0.75</v>
      </c>
      <c r="AE4" s="65" t="s">
        <v>511</v>
      </c>
      <c r="AG4" s="65" t="s">
        <v>512</v>
      </c>
    </row>
    <row r="5" spans="1:33" ht="33" customHeight="1" x14ac:dyDescent="0.25">
      <c r="A5" s="15" t="s">
        <v>513</v>
      </c>
      <c r="B5" s="16" t="s">
        <v>514</v>
      </c>
      <c r="D5" s="15" t="s">
        <v>515</v>
      </c>
      <c r="F5" s="15" t="s">
        <v>516</v>
      </c>
      <c r="L5" s="15" t="s">
        <v>507</v>
      </c>
      <c r="P5" s="15" t="s">
        <v>517</v>
      </c>
      <c r="AD5" s="66">
        <v>0.9</v>
      </c>
      <c r="AE5" s="65" t="s">
        <v>518</v>
      </c>
    </row>
    <row r="6" spans="1:33" ht="33" customHeight="1" x14ac:dyDescent="0.25">
      <c r="A6" s="15" t="s">
        <v>519</v>
      </c>
      <c r="B6" s="16" t="s">
        <v>520</v>
      </c>
      <c r="L6" s="15" t="s">
        <v>482</v>
      </c>
      <c r="P6" s="15" t="s">
        <v>521</v>
      </c>
    </row>
    <row r="7" spans="1:33" ht="16.5" customHeight="1" x14ac:dyDescent="0.3">
      <c r="A7" s="15" t="s">
        <v>522</v>
      </c>
      <c r="B7" s="16" t="s">
        <v>523</v>
      </c>
      <c r="L7" s="15"/>
      <c r="P7" s="15" t="s">
        <v>497</v>
      </c>
      <c r="AD7" s="67" t="s">
        <v>524</v>
      </c>
    </row>
    <row r="8" spans="1:33" ht="16.5" customHeight="1" x14ac:dyDescent="0.25">
      <c r="P8" s="15" t="s">
        <v>508</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18</vt:i4>
      </vt:variant>
    </vt:vector>
  </HeadingPairs>
  <TitlesOfParts>
    <vt:vector size="24" baseType="lpstr">
      <vt:lpstr>الدليل</vt:lpstr>
      <vt:lpstr>Guide</vt:lpstr>
      <vt:lpstr>KPI Tracking</vt:lpstr>
      <vt:lpstr>الأنشطة</vt:lpstr>
      <vt:lpstr>الملخص</vt:lpstr>
      <vt:lpstr>Data</vt:lpstr>
      <vt:lpstr>lst_ActType</vt:lpstr>
      <vt:lpstr>lst_Freq_Qual</vt:lpstr>
      <vt:lpstr>lst_Frequency</vt:lpstr>
      <vt:lpstr>lst_Impact</vt:lpstr>
      <vt:lpstr>lst_Institution</vt:lpstr>
      <vt:lpstr>lst_Measure</vt:lpstr>
      <vt:lpstr>lst_Period</vt:lpstr>
      <vt:lpstr>lst_Polarity</vt:lpstr>
      <vt:lpstr>lst_Priority</vt:lpstr>
      <vt:lpstr>lst_Role</vt:lpstr>
      <vt:lpstr>lst_Unit</vt:lpstr>
      <vt:lpstr>lst_Unit_Num</vt:lpstr>
      <vt:lpstr>lst_Unit_Pct</vt:lpstr>
      <vt:lpstr>lst_Unit_Qual</vt:lpstr>
      <vt:lpstr>Guide!Print_Area</vt:lpstr>
      <vt:lpstr>الأنشطة!Print_Area</vt:lpstr>
      <vt:lpstr>الدليل!Print_Area</vt:lpstr>
      <vt:lpstr>الأنشطة!Print_Titles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Mukhtar Alhadi</cp:lastModifiedBy>
  <cp:revision>0</cp:revision>
  <dcterms:created xsi:type="dcterms:W3CDTF">2026-10-12T09:04:12Z</dcterms:created>
  <dcterms:modified xsi:type="dcterms:W3CDTF">2026-10-19T08:03:12Z</dcterms:modified>
  <dc:language>en-US</dc:language>
</cp:coreProperties>
</file>